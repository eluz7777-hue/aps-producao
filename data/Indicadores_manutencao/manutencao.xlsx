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eduar\Downloads\aps-producao\data\Indicadores_manutencao\"/>
    </mc:Choice>
  </mc:AlternateContent>
  <xr:revisionPtr revIDLastSave="0" documentId="13_ncr:1_{63E50FA1-1D4F-4C60-91D0-FB1D715910F0}" xr6:coauthVersionLast="47" xr6:coauthVersionMax="47" xr10:uidLastSave="{00000000-0000-0000-0000-000000000000}"/>
  <bookViews>
    <workbookView xWindow="-108" yWindow="-108" windowWidth="23256" windowHeight="12456" tabRatio="763" firstSheet="1" activeTab="1" xr2:uid="{00000000-000D-0000-FFFF-FFFF00000000}"/>
  </bookViews>
  <sheets>
    <sheet name="Planilha2" sheetId="5" state="hidden" r:id="rId1"/>
    <sheet name="Tratamento de Dados 2026" sheetId="6" r:id="rId2"/>
  </sheet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<sst xmlns="http://schemas.openxmlformats.org/spreadsheetml/2006/main" count="34" uniqueCount="28">
  <si>
    <t>Preventiva</t>
  </si>
  <si>
    <t>Preditiva</t>
  </si>
  <si>
    <t>Corretiva não programada</t>
  </si>
  <si>
    <t>Corretiva programada</t>
  </si>
  <si>
    <t>Mês</t>
  </si>
  <si>
    <t>Janeiro</t>
  </si>
  <si>
    <t>Fevereiro</t>
  </si>
  <si>
    <t>Junho</t>
  </si>
  <si>
    <t>Julho</t>
  </si>
  <si>
    <t>Agosto</t>
  </si>
  <si>
    <t>Setembro</t>
  </si>
  <si>
    <t>Outubro</t>
  </si>
  <si>
    <t>Novembro</t>
  </si>
  <si>
    <t>Dezembro</t>
  </si>
  <si>
    <t>Ano</t>
  </si>
  <si>
    <t>Rótulos de Linha</t>
  </si>
  <si>
    <t>Total Geral</t>
  </si>
  <si>
    <t>Corretiva não programada Total</t>
  </si>
  <si>
    <t>Manutenção Preditiva Total</t>
  </si>
  <si>
    <t>Manutenção Preventiva Total</t>
  </si>
  <si>
    <t>Corretiva programada Total</t>
  </si>
  <si>
    <t>Melhoria de Máquinas</t>
  </si>
  <si>
    <t>Março</t>
  </si>
  <si>
    <t>Abril</t>
  </si>
  <si>
    <t>Maio</t>
  </si>
  <si>
    <t>Soma de Limite de custos</t>
  </si>
  <si>
    <t>0,5% do Faturamento Bruto Mensal</t>
  </si>
  <si>
    <t>Faturamento Mensal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</si>
</sst>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theme="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/>
    <xf numFmtId="43" fontId="0" fillId="0" borderId="1" xfId="1" applyFont="1" applyBorder="1"/>
    <xf numFmtId="1" fontId="0" fillId="0" borderId="1" xfId="1" applyNumberFormat="1" applyFont="1" applyBorder="1"/>
  </cellXfs>
  <cellStyles count="2">
    <cellStyle name="Normal" xfId="0" builtinId="0"/>
    <cellStyle name="Vírgula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[manutencao.xlsx]Planilha2!Tabela dinâmica15</c:name>
    <c:fmtId val="7"/>
  </c:pivotSource>
  <c:chart>
    <c:autoTitleDeleted val="1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4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0"/>
              <c:y val="6.857142857142850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0"/>
              <c:y val="6.857142857142850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0"/>
              <c:y val="6.8571428571428505E-2"/>
            </c:manualLayout>
          </c:layout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-1.7110007916295866E-17"/>
              <c:y val="-1.7510944340212723E-2"/>
            </c:manualLayout>
          </c:layout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dLbl>
          <c:idx val="0"/>
          <c:layout>
            <c:manualLayout>
              <c:x val="-4.6664197016093173E-3"/>
              <c:y val="-9.1722934571851356E-17"/>
            </c:manualLayout>
          </c:layout>
          <c:numFmt formatCode="&quot;R$&quot;\ #,##0.00;\-&quot;R$&quot;\ #,##0.00;&quot;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 w="34925" cap="rnd">
            <a:solidFill>
              <a:schemeClr val="accent1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</c:pivotFmt>
      <c:pivotFmt>
        <c:idx val="2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 w="19050" cap="flat">
            <a:solidFill>
              <a:schemeClr val="accent6">
                <a:lumMod val="75000"/>
              </a:schemeClr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</c:pivotFmt>
      <c:pivotFmt>
        <c:idx val="2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2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2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3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</c:pivotFmt>
      <c:pivotFmt>
        <c:idx val="3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 w="34925" cap="rnd">
            <a:solidFill>
              <a:schemeClr val="accent6">
                <a:lumMod val="75000"/>
              </a:schemeClr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</c:pivotFmt>
      <c:pivotFmt>
        <c:idx val="3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34925" cap="rnd">
            <a:solidFill>
              <a:schemeClr val="accent6">
                <a:lumMod val="75000"/>
              </a:schemeClr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5">
                    <a:shade val="51000"/>
                    <a:satMod val="130000"/>
                  </a:schemeClr>
                </a:gs>
                <a:gs pos="80000">
                  <a:schemeClr val="accent5">
                    <a:shade val="93000"/>
                    <a:satMod val="130000"/>
                  </a:schemeClr>
                </a:gs>
                <a:gs pos="100000">
                  <a:schemeClr val="accent5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5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24961104763365E-2"/>
          <c:y val="7.6996941986379283E-2"/>
          <c:w val="0.81697646929933665"/>
          <c:h val="0.773719598371029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Planilha2!$B$3</c:f>
              <c:strCache>
                <c:ptCount val="1"/>
                <c:pt idx="0">
                  <c:v>Corretiva não programada 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Pt>
            <c:idx val="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08D2-49EC-ACE5-848A6A9DBBD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Planilha2!$B$4:$B$20</c:f>
              <c:numCache>
                <c:formatCode>General</c:formatCode>
                <c:ptCount val="14"/>
                <c:pt idx="0">
                  <c:v>5992.48</c:v>
                </c:pt>
                <c:pt idx="1">
                  <c:v>6150.51</c:v>
                </c:pt>
                <c:pt idx="2">
                  <c:v>3431.61</c:v>
                </c:pt>
                <c:pt idx="3">
                  <c:v>5788.41</c:v>
                </c:pt>
                <c:pt idx="4">
                  <c:v>7191.1100000000006</c:v>
                </c:pt>
                <c:pt idx="5">
                  <c:v>503.03</c:v>
                </c:pt>
                <c:pt idx="6">
                  <c:v>0</c:v>
                </c:pt>
                <c:pt idx="7">
                  <c:v>0</c:v>
                </c:pt>
                <c:pt idx="8">
                  <c:v>1276.67</c:v>
                </c:pt>
                <c:pt idx="9">
                  <c:v>976.67</c:v>
                </c:pt>
                <c:pt idx="10">
                  <c:v>500</c:v>
                </c:pt>
                <c:pt idx="11">
                  <c:v>8201.619999999999</c:v>
                </c:pt>
                <c:pt idx="12">
                  <c:v>6558.2</c:v>
                </c:pt>
                <c:pt idx="13">
                  <c:v>1800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8D2-49EC-ACE5-848A6A9DBBD4}"/>
            </c:ext>
          </c:extLst>
        </c:ser>
        <c:ser>
          <c:idx val="1"/>
          <c:order val="1"/>
          <c:tx>
            <c:strRef>
              <c:f>Planilha2!$C$3</c:f>
              <c:strCache>
                <c:ptCount val="1"/>
                <c:pt idx="0">
                  <c:v>Corretiva programada Total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Planilha2!$C$4:$C$20</c:f>
              <c:numCache>
                <c:formatCode>General</c:formatCode>
                <c:ptCount val="14"/>
                <c:pt idx="0">
                  <c:v>2976.1000000000004</c:v>
                </c:pt>
                <c:pt idx="1">
                  <c:v>2288.54</c:v>
                </c:pt>
                <c:pt idx="2">
                  <c:v>1863.39</c:v>
                </c:pt>
                <c:pt idx="3">
                  <c:v>690.45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2372.14</c:v>
                </c:pt>
                <c:pt idx="8">
                  <c:v>2372.13</c:v>
                </c:pt>
                <c:pt idx="9">
                  <c:v>2372.13</c:v>
                </c:pt>
                <c:pt idx="10">
                  <c:v>4007.3999999999996</c:v>
                </c:pt>
                <c:pt idx="11">
                  <c:v>2708.2</c:v>
                </c:pt>
                <c:pt idx="12">
                  <c:v>2758</c:v>
                </c:pt>
                <c:pt idx="13">
                  <c:v>4925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D2-49EC-ACE5-848A6A9DBBD4}"/>
            </c:ext>
          </c:extLst>
        </c:ser>
        <c:ser>
          <c:idx val="2"/>
          <c:order val="2"/>
          <c:tx>
            <c:strRef>
              <c:f>Planilha2!$D$3</c:f>
              <c:strCache>
                <c:ptCount val="1"/>
                <c:pt idx="0">
                  <c:v>Manutenção Preventiva Total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Planilha2!$D$4:$D$20</c:f>
              <c:numCache>
                <c:formatCode>General</c:formatCode>
                <c:ptCount val="14"/>
                <c:pt idx="0">
                  <c:v>4200</c:v>
                </c:pt>
                <c:pt idx="1">
                  <c:v>4200</c:v>
                </c:pt>
                <c:pt idx="2">
                  <c:v>4200</c:v>
                </c:pt>
                <c:pt idx="3">
                  <c:v>4200</c:v>
                </c:pt>
                <c:pt idx="4">
                  <c:v>4200</c:v>
                </c:pt>
                <c:pt idx="5">
                  <c:v>4200</c:v>
                </c:pt>
                <c:pt idx="6">
                  <c:v>4200</c:v>
                </c:pt>
                <c:pt idx="7">
                  <c:v>4200</c:v>
                </c:pt>
                <c:pt idx="8">
                  <c:v>4200</c:v>
                </c:pt>
                <c:pt idx="9">
                  <c:v>4200</c:v>
                </c:pt>
                <c:pt idx="10">
                  <c:v>1775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8D2-49EC-ACE5-848A6A9DBBD4}"/>
            </c:ext>
          </c:extLst>
        </c:ser>
        <c:ser>
          <c:idx val="3"/>
          <c:order val="3"/>
          <c:tx>
            <c:strRef>
              <c:f>Planilha2!$E$3</c:f>
              <c:strCache>
                <c:ptCount val="1"/>
                <c:pt idx="0">
                  <c:v>Manutenção Preditiva Total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hade val="51000"/>
                    <a:satMod val="130000"/>
                  </a:schemeClr>
                </a:gs>
                <a:gs pos="80000">
                  <a:schemeClr val="accent4">
                    <a:shade val="93000"/>
                    <a:satMod val="130000"/>
                  </a:schemeClr>
                </a:gs>
                <a:gs pos="100000">
                  <a:schemeClr val="accent4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Planilha2!$E$4:$E$20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8D2-49EC-ACE5-848A6A9DBBD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5318367"/>
        <c:axId val="105322527"/>
      </c:barChart>
      <c:lineChart>
        <c:grouping val="standard"/>
        <c:varyColors val="0"/>
        <c:ser>
          <c:idx val="4"/>
          <c:order val="4"/>
          <c:tx>
            <c:strRef>
              <c:f>Planilha2!$F$3</c:f>
              <c:strCache>
                <c:ptCount val="1"/>
                <c:pt idx="0">
                  <c:v>Soma de Limite de custos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5"/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multiLvlStrRef>
              <c:f>Planilha2!$A$4:$A$20</c:f>
              <c:multiLvlStrCache>
                <c:ptCount val="14"/>
                <c:lvl>
                  <c:pt idx="0">
                    <c:v>Janeiro</c:v>
                  </c:pt>
                  <c:pt idx="1">
                    <c:v>Fevereiro</c:v>
                  </c:pt>
                  <c:pt idx="2">
                    <c:v>Março</c:v>
                  </c:pt>
                  <c:pt idx="3">
                    <c:v>Abril</c:v>
                  </c:pt>
                  <c:pt idx="4">
                    <c:v>Maio</c:v>
                  </c:pt>
                  <c:pt idx="5">
                    <c:v>Junho</c:v>
                  </c:pt>
                  <c:pt idx="6">
                    <c:v>Julho</c:v>
                  </c:pt>
                  <c:pt idx="7">
                    <c:v>Agosto</c:v>
                  </c:pt>
                  <c:pt idx="8">
                    <c:v>Setembro</c:v>
                  </c:pt>
                  <c:pt idx="9">
                    <c:v>Outubro</c:v>
                  </c:pt>
                  <c:pt idx="10">
                    <c:v>Novembro</c:v>
                  </c:pt>
                  <c:pt idx="11">
                    <c:v>Dezembro</c:v>
                  </c:pt>
                  <c:pt idx="12">
                    <c:v>Janeiro</c:v>
                  </c:pt>
                  <c:pt idx="13">
                    <c:v>Fevereiro</c:v>
                  </c:pt>
                </c:lvl>
                <c:lvl>
                  <c:pt idx="0">
                    <c:v>2025</c:v>
                  </c:pt>
                  <c:pt idx="12">
                    <c:v>2026</c:v>
                  </c:pt>
                </c:lvl>
              </c:multiLvlStrCache>
            </c:multiLvlStrRef>
          </c:cat>
          <c:val>
            <c:numRef>
              <c:f>Planilha2!$F$4:$F$20</c:f>
              <c:numCache>
                <c:formatCode>General</c:formatCode>
                <c:ptCount val="14"/>
                <c:pt idx="0">
                  <c:v>5000</c:v>
                </c:pt>
                <c:pt idx="1">
                  <c:v>5000</c:v>
                </c:pt>
                <c:pt idx="2">
                  <c:v>5000</c:v>
                </c:pt>
                <c:pt idx="3">
                  <c:v>5000</c:v>
                </c:pt>
                <c:pt idx="4">
                  <c:v>5000</c:v>
                </c:pt>
                <c:pt idx="5">
                  <c:v>5000</c:v>
                </c:pt>
                <c:pt idx="6">
                  <c:v>5000</c:v>
                </c:pt>
                <c:pt idx="7">
                  <c:v>5000</c:v>
                </c:pt>
                <c:pt idx="8">
                  <c:v>5000</c:v>
                </c:pt>
                <c:pt idx="9">
                  <c:v>5000</c:v>
                </c:pt>
                <c:pt idx="10">
                  <c:v>5000</c:v>
                </c:pt>
                <c:pt idx="11">
                  <c:v>5000</c:v>
                </c:pt>
                <c:pt idx="12">
                  <c:v>5000</c:v>
                </c:pt>
                <c:pt idx="13">
                  <c:v>5000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08D2-49EC-ACE5-848A6A9DBB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318367"/>
        <c:axId val="105322527"/>
      </c:lineChart>
      <c:catAx>
        <c:axId val="10531836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22527"/>
        <c:crosses val="autoZero"/>
        <c:auto val="1"/>
        <c:lblAlgn val="ctr"/>
        <c:lblOffset val="100"/>
        <c:noMultiLvlLbl val="0"/>
      </c:catAx>
      <c:valAx>
        <c:axId val="10532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531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245437846322557"/>
          <c:y val="0.31524584755235802"/>
          <c:w val="0.15658442053777236"/>
          <c:h val="0.533824388274167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w="12700">
      <a:solidFill>
        <a:schemeClr val="tx1">
          <a:lumMod val="75000"/>
          <a:lumOff val="25000"/>
        </a:schemeClr>
      </a:solidFill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0</xdr:rowOff>
    </xdr:from>
    <xdr:to>
      <xdr:col>10</xdr:col>
      <xdr:colOff>654984</xdr:colOff>
      <xdr:row>47</xdr:row>
      <xdr:rowOff>123825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eduar/Downloads/aps-producao/data/Indicadores_manutencao_/manutencao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nutencao" refreshedDate="46078.332756481483" createdVersion="6" refreshedVersion="6" minRefreshableVersion="3" recordCount="14" xr:uid="{00000000-000A-0000-FFFF-FFFF00000000}">
  <cacheSource type="worksheet">
    <worksheetSource ref="B11:I23" sheet="Tratamento de Dados 2025" r:id="rId2"/>
  </cacheSource>
  <cacheFields count="8">
    <cacheField name="Ano" numFmtId="0">
      <sharedItems containsSemiMixedTypes="0" containsString="0" containsNumber="1" containsInteger="1" minValue="2025" maxValue="2026" count="2">
        <n v="2025"/>
        <n v="2026"/>
      </sharedItems>
    </cacheField>
    <cacheField name="Mês" numFmtId="0">
      <sharedItems count="12">
        <s v="Janeiro"/>
        <s v="Fevereiro"/>
        <s v="Março"/>
        <s v="Abril"/>
        <s v="Maio"/>
        <s v="Junho"/>
        <s v="Julho"/>
        <s v="Agosto"/>
        <s v="Setembro"/>
        <s v="Outubro"/>
        <s v="Novembro"/>
        <s v="Dezembro"/>
      </sharedItems>
    </cacheField>
    <cacheField name="Corretiva não programada" numFmtId="44">
      <sharedItems containsSemiMixedTypes="0" containsString="0" containsNumber="1" minValue="0" maxValue="8201.619999999999"/>
    </cacheField>
    <cacheField name="Corretiva programada" numFmtId="44">
      <sharedItems containsSemiMixedTypes="0" containsString="0" containsNumber="1" minValue="0" maxValue="4925"/>
    </cacheField>
    <cacheField name="Preventiva" numFmtId="44">
      <sharedItems containsSemiMixedTypes="0" containsString="0" containsNumber="1" containsInteger="1" minValue="0" maxValue="4200"/>
    </cacheField>
    <cacheField name="Preditiva" numFmtId="44">
      <sharedItems containsSemiMixedTypes="0" containsString="0" containsNumber="1" containsInteger="1" minValue="0" maxValue="0"/>
    </cacheField>
    <cacheField name="Melhoria de Máquinas" numFmtId="44">
      <sharedItems containsSemiMixedTypes="0" containsString="0" containsNumber="1" containsInteger="1" minValue="0" maxValue="0"/>
    </cacheField>
    <cacheField name="Limite de custos" numFmtId="44">
      <sharedItems containsSemiMixedTypes="0" containsString="0" containsNumber="1" containsInteger="1" minValue="5000" maxValue="5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4">
  <r>
    <x v="0"/>
    <x v="0"/>
    <n v="5992.48"/>
    <n v="2976.1000000000004"/>
    <n v="4200"/>
    <n v="0"/>
    <n v="0"/>
    <n v="5000"/>
  </r>
  <r>
    <x v="0"/>
    <x v="1"/>
    <n v="6150.51"/>
    <n v="2288.54"/>
    <n v="4200"/>
    <n v="0"/>
    <n v="0"/>
    <n v="5000"/>
  </r>
  <r>
    <x v="0"/>
    <x v="2"/>
    <n v="3431.61"/>
    <n v="1863.39"/>
    <n v="4200"/>
    <n v="0"/>
    <n v="0"/>
    <n v="5000"/>
  </r>
  <r>
    <x v="0"/>
    <x v="3"/>
    <n v="5788.41"/>
    <n v="690.45"/>
    <n v="4200"/>
    <n v="0"/>
    <n v="0"/>
    <n v="5000"/>
  </r>
  <r>
    <x v="0"/>
    <x v="4"/>
    <n v="7191.1100000000006"/>
    <n v="0"/>
    <n v="4200"/>
    <n v="0"/>
    <n v="0"/>
    <n v="5000"/>
  </r>
  <r>
    <x v="0"/>
    <x v="5"/>
    <n v="503.03"/>
    <n v="0"/>
    <n v="4200"/>
    <n v="0"/>
    <n v="0"/>
    <n v="5000"/>
  </r>
  <r>
    <x v="0"/>
    <x v="6"/>
    <n v="0"/>
    <n v="0"/>
    <n v="4200"/>
    <n v="0"/>
    <n v="0"/>
    <n v="5000"/>
  </r>
  <r>
    <x v="0"/>
    <x v="7"/>
    <n v="0"/>
    <n v="2372.14"/>
    <n v="4200"/>
    <n v="0"/>
    <n v="0"/>
    <n v="5000"/>
  </r>
  <r>
    <x v="0"/>
    <x v="8"/>
    <n v="1276.67"/>
    <n v="2372.13"/>
    <n v="4200"/>
    <n v="0"/>
    <n v="0"/>
    <n v="5000"/>
  </r>
  <r>
    <x v="0"/>
    <x v="9"/>
    <n v="976.67"/>
    <n v="2372.13"/>
    <n v="4200"/>
    <n v="0"/>
    <n v="0"/>
    <n v="5000"/>
  </r>
  <r>
    <x v="0"/>
    <x v="10"/>
    <n v="500"/>
    <n v="4007.3999999999996"/>
    <n v="1775"/>
    <n v="0"/>
    <n v="0"/>
    <n v="5000"/>
  </r>
  <r>
    <x v="0"/>
    <x v="11"/>
    <n v="8201.619999999999"/>
    <n v="2708.2"/>
    <n v="0"/>
    <n v="0"/>
    <n v="0"/>
    <n v="5000"/>
  </r>
  <r>
    <x v="1"/>
    <x v="0"/>
    <n v="6558.2"/>
    <n v="2758"/>
    <n v="0"/>
    <n v="0"/>
    <n v="0"/>
    <n v="5000"/>
  </r>
  <r>
    <x v="1"/>
    <x v="1"/>
    <n v="1800"/>
    <n v="4925"/>
    <n v="0"/>
    <n v="0"/>
    <n v="0"/>
    <n v="5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ela dinâmica15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8">
  <location ref="A3:F20" firstHeaderRow="0" firstDataRow="1" firstDataCol="1"/>
  <pivotFields count="8">
    <pivotField axis="axisRow" showAll="0">
      <items count="3">
        <item x="0"/>
        <item x="1"/>
        <item t="default"/>
      </items>
    </pivotField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numFmtId="44" showAll="0"/>
    <pivotField dataField="1" numFmtId="44" showAll="0"/>
    <pivotField dataField="1" numFmtId="44" showAll="0"/>
    <pivotField dataField="1" numFmtId="44" showAll="0"/>
    <pivotField numFmtId="44" showAll="0" defaultSubtotal="0"/>
    <pivotField dataField="1" numFmtId="44" showAll="0" defaultSubtotal="0"/>
  </pivotFields>
  <rowFields count="2">
    <field x="0"/>
    <field x="1"/>
  </rowFields>
  <rowItems count="1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>
      <x v="1"/>
    </i>
    <i r="1">
      <x/>
    </i>
    <i r="1">
      <x v="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Corretiva não programada Total" fld="2" baseField="0" baseItem="0"/>
    <dataField name="Corretiva programada Total" fld="3" baseField="0" baseItem="0"/>
    <dataField name="Manutenção Preventiva Total" fld="4" baseField="0" baseItem="0"/>
    <dataField name="Manutenção Preditiva Total" fld="5" baseField="0" baseItem="0"/>
    <dataField name="Soma de Limite de custos" fld="7" baseField="0" baseItem="0"/>
  </dataFields>
  <chartFormats count="15">
    <chartFormat chart="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8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10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6" format="3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3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6" format="3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6" format="36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7" format="3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39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7" format="40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7" format="41" series="1">
      <pivotArea type="data" outline="0" fieldPosition="0">
        <references count="1">
          <reference field="4294967294" count="1" selected="0">
            <x v="4"/>
          </reference>
        </references>
      </pivotArea>
    </chartFormat>
  </chartFormat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F20"/>
  <sheetViews>
    <sheetView topLeftCell="A34" workbookViewId="0">
      <selection activeCell="C14" sqref="C14"/>
    </sheetView>
  </sheetViews>
  <sheetFormatPr defaultRowHeight="14.4" x14ac:dyDescent="0.3"/>
  <cols>
    <col min="1" max="1" width="18" customWidth="1"/>
    <col min="2" max="2" width="29.33203125" bestFit="1" customWidth="1"/>
    <col min="3" max="3" width="25.5546875" bestFit="1" customWidth="1"/>
    <col min="4" max="4" width="27.5546875" bestFit="1" customWidth="1"/>
    <col min="5" max="5" width="26" bestFit="1" customWidth="1"/>
    <col min="6" max="6" width="23.6640625" bestFit="1" customWidth="1"/>
    <col min="7" max="7" width="18.109375" bestFit="1" customWidth="1"/>
    <col min="8" max="8" width="12.109375" customWidth="1"/>
    <col min="9" max="9" width="12.33203125" customWidth="1"/>
    <col min="10" max="10" width="18.109375" customWidth="1"/>
    <col min="11" max="11" width="12.109375" customWidth="1"/>
    <col min="12" max="12" width="12.33203125" bestFit="1" customWidth="1"/>
    <col min="13" max="13" width="18.109375" bestFit="1" customWidth="1"/>
    <col min="14" max="14" width="12.109375" customWidth="1"/>
    <col min="15" max="15" width="12.33203125" bestFit="1" customWidth="1"/>
    <col min="16" max="16" width="18.109375" bestFit="1" customWidth="1"/>
    <col min="17" max="17" width="12.109375" bestFit="1" customWidth="1"/>
  </cols>
  <sheetData>
    <row r="3" spans="1:6" x14ac:dyDescent="0.3">
      <c r="A3" s="1" t="s">
        <v>15</v>
      </c>
      <c r="B3" t="s">
        <v>17</v>
      </c>
      <c r="C3" t="s">
        <v>20</v>
      </c>
      <c r="D3" t="s">
        <v>19</v>
      </c>
      <c r="E3" t="s">
        <v>18</v>
      </c>
      <c r="F3" t="s">
        <v>25</v>
      </c>
    </row>
    <row r="4" spans="1:6" x14ac:dyDescent="0.3">
      <c r="A4" s="2">
        <v>2025</v>
      </c>
      <c r="B4">
        <v>40012.11</v>
      </c>
      <c r="C4">
        <v>21650.48</v>
      </c>
      <c r="D4">
        <v>43775</v>
      </c>
      <c r="E4">
        <v>0</v>
      </c>
      <c r="F4">
        <v>60000</v>
      </c>
    </row>
    <row r="5" spans="1:6" x14ac:dyDescent="0.3">
      <c r="A5" s="3" t="s">
        <v>5</v>
      </c>
      <c r="B5">
        <v>5992.48</v>
      </c>
      <c r="C5">
        <v>2976.1000000000004</v>
      </c>
      <c r="D5">
        <v>4200</v>
      </c>
      <c r="E5">
        <v>0</v>
      </c>
      <c r="F5">
        <v>5000</v>
      </c>
    </row>
    <row r="6" spans="1:6" x14ac:dyDescent="0.3">
      <c r="A6" s="3" t="s">
        <v>6</v>
      </c>
      <c r="B6">
        <v>6150.51</v>
      </c>
      <c r="C6">
        <v>2288.54</v>
      </c>
      <c r="D6">
        <v>4200</v>
      </c>
      <c r="E6">
        <v>0</v>
      </c>
      <c r="F6">
        <v>5000</v>
      </c>
    </row>
    <row r="7" spans="1:6" x14ac:dyDescent="0.3">
      <c r="A7" s="3" t="s">
        <v>22</v>
      </c>
      <c r="B7">
        <v>3431.61</v>
      </c>
      <c r="C7">
        <v>1863.39</v>
      </c>
      <c r="D7">
        <v>4200</v>
      </c>
      <c r="E7">
        <v>0</v>
      </c>
      <c r="F7">
        <v>5000</v>
      </c>
    </row>
    <row r="8" spans="1:6" x14ac:dyDescent="0.3">
      <c r="A8" s="3" t="s">
        <v>23</v>
      </c>
      <c r="B8">
        <v>5788.41</v>
      </c>
      <c r="C8">
        <v>690.45</v>
      </c>
      <c r="D8">
        <v>4200</v>
      </c>
      <c r="E8">
        <v>0</v>
      </c>
      <c r="F8">
        <v>5000</v>
      </c>
    </row>
    <row r="9" spans="1:6" x14ac:dyDescent="0.3">
      <c r="A9" s="3" t="s">
        <v>24</v>
      </c>
      <c r="B9">
        <v>7191.1100000000006</v>
      </c>
      <c r="C9">
        <v>0</v>
      </c>
      <c r="D9">
        <v>4200</v>
      </c>
      <c r="E9">
        <v>0</v>
      </c>
      <c r="F9">
        <v>5000</v>
      </c>
    </row>
    <row r="10" spans="1:6" x14ac:dyDescent="0.3">
      <c r="A10" s="3" t="s">
        <v>7</v>
      </c>
      <c r="B10">
        <v>503.03</v>
      </c>
      <c r="C10">
        <v>0</v>
      </c>
      <c r="D10">
        <v>4200</v>
      </c>
      <c r="E10">
        <v>0</v>
      </c>
      <c r="F10">
        <v>5000</v>
      </c>
    </row>
    <row r="11" spans="1:6" x14ac:dyDescent="0.3">
      <c r="A11" s="3" t="s">
        <v>8</v>
      </c>
      <c r="B11">
        <v>0</v>
      </c>
      <c r="C11">
        <v>0</v>
      </c>
      <c r="D11">
        <v>4200</v>
      </c>
      <c r="E11">
        <v>0</v>
      </c>
      <c r="F11">
        <v>5000</v>
      </c>
    </row>
    <row r="12" spans="1:6" x14ac:dyDescent="0.3">
      <c r="A12" s="3" t="s">
        <v>9</v>
      </c>
      <c r="B12">
        <v>0</v>
      </c>
      <c r="C12">
        <v>2372.14</v>
      </c>
      <c r="D12">
        <v>4200</v>
      </c>
      <c r="E12">
        <v>0</v>
      </c>
      <c r="F12">
        <v>5000</v>
      </c>
    </row>
    <row r="13" spans="1:6" x14ac:dyDescent="0.3">
      <c r="A13" s="3" t="s">
        <v>10</v>
      </c>
      <c r="B13">
        <v>1276.67</v>
      </c>
      <c r="C13">
        <v>2372.13</v>
      </c>
      <c r="D13">
        <v>4200</v>
      </c>
      <c r="E13">
        <v>0</v>
      </c>
      <c r="F13">
        <v>5000</v>
      </c>
    </row>
    <row r="14" spans="1:6" x14ac:dyDescent="0.3">
      <c r="A14" s="3" t="s">
        <v>11</v>
      </c>
      <c r="B14">
        <v>976.67</v>
      </c>
      <c r="C14">
        <v>2372.13</v>
      </c>
      <c r="D14">
        <v>4200</v>
      </c>
      <c r="E14">
        <v>0</v>
      </c>
      <c r="F14">
        <v>5000</v>
      </c>
    </row>
    <row r="15" spans="1:6" x14ac:dyDescent="0.3">
      <c r="A15" s="3" t="s">
        <v>12</v>
      </c>
      <c r="B15">
        <v>500</v>
      </c>
      <c r="C15">
        <v>4007.3999999999996</v>
      </c>
      <c r="D15">
        <v>1775</v>
      </c>
      <c r="E15">
        <v>0</v>
      </c>
      <c r="F15">
        <v>5000</v>
      </c>
    </row>
    <row r="16" spans="1:6" x14ac:dyDescent="0.3">
      <c r="A16" s="3" t="s">
        <v>13</v>
      </c>
      <c r="B16">
        <v>8201.619999999999</v>
      </c>
      <c r="C16">
        <v>2708.2</v>
      </c>
      <c r="D16">
        <v>0</v>
      </c>
      <c r="E16">
        <v>0</v>
      </c>
      <c r="F16">
        <v>5000</v>
      </c>
    </row>
    <row r="17" spans="1:6" x14ac:dyDescent="0.3">
      <c r="A17" s="2">
        <v>2026</v>
      </c>
      <c r="B17">
        <v>8358.2000000000007</v>
      </c>
      <c r="C17">
        <v>7683</v>
      </c>
      <c r="D17">
        <v>0</v>
      </c>
      <c r="E17">
        <v>0</v>
      </c>
      <c r="F17">
        <v>10000</v>
      </c>
    </row>
    <row r="18" spans="1:6" x14ac:dyDescent="0.3">
      <c r="A18" s="3" t="s">
        <v>5</v>
      </c>
      <c r="B18">
        <v>6558.2</v>
      </c>
      <c r="C18">
        <v>2758</v>
      </c>
      <c r="D18">
        <v>0</v>
      </c>
      <c r="E18">
        <v>0</v>
      </c>
      <c r="F18">
        <v>5000</v>
      </c>
    </row>
    <row r="19" spans="1:6" x14ac:dyDescent="0.3">
      <c r="A19" s="3" t="s">
        <v>6</v>
      </c>
      <c r="B19">
        <v>1800</v>
      </c>
      <c r="C19">
        <v>4925</v>
      </c>
      <c r="D19">
        <v>0</v>
      </c>
      <c r="E19">
        <v>0</v>
      </c>
      <c r="F19">
        <v>5000</v>
      </c>
    </row>
    <row r="20" spans="1:6" x14ac:dyDescent="0.3">
      <c r="A20" s="2" t="s">
        <v>16</v>
      </c>
      <c r="B20">
        <v>48370.31</v>
      </c>
      <c r="C20">
        <v>29333.48</v>
      </c>
      <c r="D20">
        <v>43775</v>
      </c>
      <c r="E20">
        <v>0</v>
      </c>
      <c r="F20">
        <v>70000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4"/>
  <sheetViews>
    <sheetView tabSelected="1" workbookViewId="0">
      <selection activeCell="G13" sqref="G13"/>
    </sheetView>
  </sheetViews>
  <sheetFormatPr defaultColWidth="9.109375" defaultRowHeight="14.4" x14ac:dyDescent="0.3"/>
  <cols>
    <col min="1" max="1" width="17.21875" customWidth="1"/>
    <col min="2" max="2" width="9.33203125" customWidth="1"/>
    <col min="3" max="3" width="12.88671875" customWidth="1"/>
    <col min="4" max="4" width="24" customWidth="1"/>
    <col min="5" max="5" width="22" customWidth="1"/>
    <col min="6" max="6" width="13.109375" customWidth="1"/>
    <col min="7" max="7" width="15.6640625" customWidth="1"/>
    <col min="8" max="8" width="21.109375" customWidth="1"/>
    <col min="9" max="9" width="24.5546875" bestFit="1" customWidth="1"/>
    <col min="10" max="10" width="15.33203125" bestFit="1" customWidth="1"/>
    <col min="11" max="11" width="17" bestFit="1" customWidth="1"/>
  </cols>
  <sheetData>
    <row r="1" spans="1:10" ht="28.8" x14ac:dyDescent="0.3">
      <c r="A1" s="4" t="s">
        <v>27</v>
      </c>
      <c r="B1" s="5" t="s">
        <v>14</v>
      </c>
      <c r="C1" s="5" t="s">
        <v>4</v>
      </c>
      <c r="D1" s="6" t="s">
        <v>2</v>
      </c>
      <c r="E1" s="6" t="s">
        <v>3</v>
      </c>
      <c r="F1" s="6" t="s">
        <v>0</v>
      </c>
      <c r="G1" s="6" t="s">
        <v>1</v>
      </c>
      <c r="H1" s="6" t="s">
        <v>21</v>
      </c>
      <c r="I1" s="6" t="s">
        <v>26</v>
      </c>
      <c r="J1" s="6" t="s">
        <v>16</v>
      </c>
    </row>
    <row r="2" spans="1:10" x14ac:dyDescent="0.3">
      <c r="A2" s="8">
        <v>647585.69999999995</v>
      </c>
      <c r="B2" s="7">
        <v>2026</v>
      </c>
      <c r="C2" s="7" t="s">
        <v>5</v>
      </c>
      <c r="D2" s="8">
        <v>2330</v>
      </c>
      <c r="E2" s="8">
        <v>900</v>
      </c>
      <c r="F2" s="9">
        <v>0</v>
      </c>
      <c r="G2" s="9">
        <v>0</v>
      </c>
      <c r="H2" s="9">
        <v>0</v>
      </c>
      <c r="I2" s="8">
        <v>3237.9285</v>
      </c>
      <c r="J2" s="8">
        <v>3230</v>
      </c>
    </row>
    <row r="3" spans="1:10" x14ac:dyDescent="0.3">
      <c r="A3" s="8">
        <v>844687.4</v>
      </c>
      <c r="B3" s="7">
        <v>2026</v>
      </c>
      <c r="C3" s="7" t="s">
        <v>6</v>
      </c>
      <c r="D3" s="8">
        <v>1800</v>
      </c>
      <c r="E3" s="8">
        <v>2445</v>
      </c>
      <c r="F3" s="9">
        <v>0</v>
      </c>
      <c r="G3" s="9">
        <v>0</v>
      </c>
      <c r="H3" s="8">
        <v>600</v>
      </c>
      <c r="I3" s="8">
        <v>4223.4369999999999</v>
      </c>
      <c r="J3" s="8">
        <v>4845</v>
      </c>
    </row>
    <row r="4" spans="1:10" x14ac:dyDescent="0.3">
      <c r="A4" s="8">
        <v>753982.97</v>
      </c>
      <c r="B4" s="7">
        <v>2026</v>
      </c>
      <c r="C4" s="7" t="s">
        <v>22</v>
      </c>
      <c r="D4" s="8">
        <v>10476.219999999999</v>
      </c>
      <c r="E4" s="8">
        <v>460</v>
      </c>
      <c r="F4" s="9">
        <v>0</v>
      </c>
      <c r="G4" s="9">
        <v>0</v>
      </c>
      <c r="H4" s="9">
        <v>0</v>
      </c>
      <c r="I4" s="8">
        <v>3769.9148500000001</v>
      </c>
      <c r="J4" s="8">
        <v>10936.22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Planilha2</vt:lpstr>
      <vt:lpstr>Tratamento de Dados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Eduardo Luz</cp:lastModifiedBy>
  <cp:lastPrinted>2026-02-26T16:57:32Z</cp:lastPrinted>
  <dcterms:created xsi:type="dcterms:W3CDTF">2026-02-19T12:56:04Z</dcterms:created>
  <dcterms:modified xsi:type="dcterms:W3CDTF">2026-04-22T18:58:17Z</dcterms:modified>
</cp:coreProperties>
</file>