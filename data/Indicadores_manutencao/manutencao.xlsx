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uar\Downloads\aps-producao\data\Indicadores_manutencao\"/>
    </mc:Choice>
  </mc:AlternateContent>
  <xr:revisionPtr revIDLastSave="0" documentId="13_ncr:1_{ED981C7B-2D19-47A6-A744-FF864D4CEF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6" i="1" l="1"/>
  <c r="I6" i="1"/>
</calcChain>
</file>

<file path=xl/sharedStrings.xml><?xml version="1.0" encoding="utf-8"?>
<sst xmlns="http://schemas.openxmlformats.org/spreadsheetml/2006/main" count="15" uniqueCount="15">
  <si>
    <t>Faturamento Mensal</t>
  </si>
  <si>
    <t>Ano</t>
  </si>
  <si>
    <t>Mês</t>
  </si>
  <si>
    <t>Corretiva não programada</t>
  </si>
  <si>
    <t>Corretiva programada</t>
  </si>
  <si>
    <t>Preventiva</t>
  </si>
  <si>
    <t>Preditiva</t>
  </si>
  <si>
    <t>Melhoria de Máquinas</t>
  </si>
  <si>
    <t>0,5% do Faturamento Bruto Mensal</t>
  </si>
  <si>
    <t>Total Geral</t>
  </si>
  <si>
    <t>Janeiro</t>
  </si>
  <si>
    <t>Fevereiro</t>
  </si>
  <si>
    <t>Março</t>
  </si>
  <si>
    <t>Abril</t>
  </si>
  <si>
    <t>Maio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</si>
</sst>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theme="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43" fontId="0" fillId="0" borderId="1" xfId="1" applyFont="1" applyBorder="1"/>
    <xf numFmtId="0" fontId="0" fillId="0" borderId="1" xfId="0" applyBorder="1"/>
    <xf numFmtId="1" fontId="0" fillId="0" borderId="1" xfId="1" applyNumberFormat="1" applyFont="1" applyBorder="1"/>
    <xf numFmtId="43" fontId="0" fillId="0" borderId="0" xfId="0" applyNumberFormat="1"/>
    <xf numFmtId="0" fontId="0" fillId="0" borderId="1" xfId="1" applyNumberFormat="1" applyFont="1" applyBorder="1"/>
    <xf numFmtId="43" fontId="0" fillId="0" borderId="0" xfId="1" applyFont="1"/>
    <xf numFmtId="43" fontId="0" fillId="0" borderId="1" xfId="0" applyNumberFormat="1" applyBorder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J7" sqref="J7"/>
    </sheetView>
  </sheetViews>
  <sheetFormatPr defaultRowHeight="14.4" x14ac:dyDescent="0.3"/>
  <cols>
    <col min="1" max="10" width="12.44140625" customWidth="1"/>
  </cols>
  <sheetData>
    <row r="1" spans="1:10" ht="43.2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4">
        <v>647585.69999999995</v>
      </c>
      <c r="B2" s="5">
        <v>2026</v>
      </c>
      <c r="C2" s="5" t="s">
        <v>10</v>
      </c>
      <c r="D2" s="4">
        <v>2330</v>
      </c>
      <c r="E2" s="4">
        <v>900</v>
      </c>
      <c r="F2" s="6">
        <v>0</v>
      </c>
      <c r="G2" s="6">
        <v>0</v>
      </c>
      <c r="H2" s="6">
        <v>0</v>
      </c>
      <c r="I2" s="4">
        <v>3237.9285</v>
      </c>
      <c r="J2" s="4">
        <v>3230</v>
      </c>
    </row>
    <row r="3" spans="1:10" x14ac:dyDescent="0.3">
      <c r="A3" s="4">
        <v>844687.4</v>
      </c>
      <c r="B3" s="5">
        <v>2026</v>
      </c>
      <c r="C3" s="5" t="s">
        <v>11</v>
      </c>
      <c r="D3" s="4">
        <v>1800.05</v>
      </c>
      <c r="E3" s="4">
        <v>2445</v>
      </c>
      <c r="F3" s="6">
        <v>0</v>
      </c>
      <c r="G3" s="6">
        <v>0</v>
      </c>
      <c r="H3" s="4">
        <v>600</v>
      </c>
      <c r="I3" s="4">
        <v>4223.4369999999999</v>
      </c>
      <c r="J3" s="4">
        <v>4845</v>
      </c>
    </row>
    <row r="4" spans="1:10" x14ac:dyDescent="0.3">
      <c r="A4" s="4">
        <v>753982.97</v>
      </c>
      <c r="B4" s="5">
        <v>2026</v>
      </c>
      <c r="C4" s="5" t="s">
        <v>12</v>
      </c>
      <c r="D4" s="4">
        <v>10476.200000000001</v>
      </c>
      <c r="E4" s="4">
        <v>460</v>
      </c>
      <c r="F4" s="6">
        <v>0</v>
      </c>
      <c r="G4" s="6">
        <v>0</v>
      </c>
      <c r="H4" s="6">
        <v>0</v>
      </c>
      <c r="I4" s="4">
        <v>3769.9148500000001</v>
      </c>
      <c r="J4" s="4">
        <v>10936.2</v>
      </c>
    </row>
    <row r="5" spans="1:10" x14ac:dyDescent="0.3">
      <c r="A5" s="4">
        <v>907675.67</v>
      </c>
      <c r="B5" s="8">
        <v>2026</v>
      </c>
      <c r="C5" s="4" t="s">
        <v>13</v>
      </c>
      <c r="D5" s="6">
        <v>0</v>
      </c>
      <c r="E5" s="4">
        <v>3583.33</v>
      </c>
      <c r="F5" s="6">
        <v>0</v>
      </c>
      <c r="G5" s="6">
        <v>0</v>
      </c>
      <c r="H5" s="6">
        <v>0</v>
      </c>
      <c r="I5" s="4">
        <v>4538.38</v>
      </c>
      <c r="J5" s="4">
        <v>3583.33</v>
      </c>
    </row>
    <row r="6" spans="1:10" x14ac:dyDescent="0.3">
      <c r="A6" s="5">
        <v>884756.31</v>
      </c>
      <c r="B6" s="5">
        <v>2026</v>
      </c>
      <c r="C6" s="5" t="s">
        <v>14</v>
      </c>
      <c r="D6" s="4">
        <v>7376</v>
      </c>
      <c r="E6" s="4">
        <v>175</v>
      </c>
      <c r="F6" s="5">
        <v>0</v>
      </c>
      <c r="G6" s="5">
        <v>0</v>
      </c>
      <c r="H6" s="5">
        <v>695.77</v>
      </c>
      <c r="I6" s="4">
        <f>0.005*A6</f>
        <v>4423.7815500000006</v>
      </c>
      <c r="J6" s="10">
        <f>D6+E6+F6+G6+H6</f>
        <v>8246.77</v>
      </c>
    </row>
    <row r="7" spans="1:10" x14ac:dyDescent="0.3">
      <c r="I7" s="9"/>
      <c r="J7" s="7"/>
    </row>
    <row r="8" spans="1:10" x14ac:dyDescent="0.3">
      <c r="J8" s="7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Luz</dc:creator>
  <cp:lastModifiedBy>Eduardo Luz</cp:lastModifiedBy>
  <dcterms:created xsi:type="dcterms:W3CDTF">2026-04-22T19:15:32Z</dcterms:created>
  <dcterms:modified xsi:type="dcterms:W3CDTF">2026-06-08T17:20:57Z</dcterms:modified>
</cp:coreProperties>
</file>