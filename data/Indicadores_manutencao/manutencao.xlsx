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E2495ADD-2524-40D8-BEF9-CAFA197D1027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7" i="6"/>
  <c r="C5" i="6" l="1"/>
  <c r="C4" i="6"/>
  <c r="C3" i="6" l="1"/>
  <c r="D3" i="6" s="1"/>
  <c r="D5" i="6" l="1"/>
  <c r="D6" i="6"/>
  <c r="D7" i="6"/>
  <c r="D4" i="6"/>
  <c r="D8" i="6" l="1"/>
</calcChain>
</file>

<file path=xl/sharedStrings.xml><?xml version="1.0" encoding="utf-8"?>
<sst xmlns="http://schemas.openxmlformats.org/spreadsheetml/2006/main" count="44" uniqueCount="34">
  <si>
    <t>Preventiva</t>
  </si>
  <si>
    <t>Resumo de Custos por Tipo de Manutenção</t>
  </si>
  <si>
    <t>Preditiva</t>
  </si>
  <si>
    <t>Melhoria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</si>
  <si>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</si>
  <si>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</si>
  <si>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</si>
  <si>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</si>
  <si>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</si>
  <si>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</si>
  <si>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</si>
  <si>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</si>
  <si>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</si>
  <si>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</si>
  <si>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</si>
  <si>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</si>
  <si>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Custo Total por tipo de manutenção (R$)</t>
  </si>
  <si>
    <t>Tipo de manutenção</t>
  </si>
  <si>
    <t>Percentual de custo total por tipo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</si>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</sst>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Arial"/>
      <family val="2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44" fontId="0" fillId="0" borderId="0" xfId="1" applyFont="1"/>
    <xf numFmtId="9" fontId="0" fillId="0" borderId="0" xfId="2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2" borderId="0" xfId="0" applyNumberFormat="1" applyFill="1"/>
    <xf numFmtId="0" fontId="4" fillId="3" borderId="1" xfId="0" applyFont="1" applyFill="1" applyBorder="1" applyAlignment="1">
      <alignment horizontal="center" vertical="center"/>
    </xf>
    <xf numFmtId="10" fontId="4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0" borderId="2" xfId="0" applyBorder="1"/>
    <xf numFmtId="0" fontId="3" fillId="2" borderId="0" xfId="0" applyFont="1" applyFill="1" applyAlignment="1">
      <alignment horizontal="center" vertical="center"/>
    </xf>
    <xf numFmtId="43" fontId="0" fillId="0" borderId="2" xfId="3" applyFont="1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ela54" displayName="Tabela54" ref="B2:D7" totalsRowShown="0">
  <autoFilter ref="B2:D7" xr:uid="{00000000-0009-0000-0100-000003000000}"/>
  <tableColumns count="3">
    <tableColumn id="1" xr3:uid="{00000000-0010-0000-0400-000001000000}" name="Tipo de manutenção"/>
    <tableColumn id="2" xr3:uid="{00000000-0010-0000-0400-000002000000}" name="Custo Total por tipo de manutenção (R$)" dataDxfId="1" dataCellStyle="Moeda">
      <calculatedColumnFormula>SUMIFS(#REF!,#REF!,Tabela54[[#This Row],[Tipo de manutenção]],#REF!,'Tratamento de Dados 2026'!$D$1)</calculatedColumnFormula>
    </tableColumn>
    <tableColumn id="3" xr3:uid="{00000000-0010-0000-0400-000003000000}" name="Percentual de custo total por tipo" dataDxfId="0" dataCellStyle="Porcentagem">
      <calculatedColumnFormula>Tabela54[[#This Row],[Custo Total por tipo de manutenção (R$)]]/SUM(Tabela54[Custo Total por tipo de manutenção (R$)])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4" t="s">
        <v>20</v>
      </c>
      <c r="B3" t="s">
        <v>22</v>
      </c>
      <c r="C3" t="s">
        <v>25</v>
      </c>
      <c r="D3" t="s">
        <v>24</v>
      </c>
      <c r="E3" t="s">
        <v>23</v>
      </c>
      <c r="F3" t="s">
        <v>30</v>
      </c>
    </row>
    <row r="4" spans="1:6" x14ac:dyDescent="0.3">
      <c r="A4" s="5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6" t="s">
        <v>7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6" t="s">
        <v>8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6" t="s">
        <v>27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6" t="s">
        <v>28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6" t="s">
        <v>29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6" t="s">
        <v>9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6" t="s">
        <v>10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6" t="s">
        <v>11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6" t="s">
        <v>12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6" t="s">
        <v>13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6" t="s">
        <v>14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6" t="s">
        <v>15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5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6" t="s">
        <v>7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6" t="s">
        <v>8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5" t="s">
        <v>21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tabSelected="1" topLeftCell="A10" workbookViewId="0">
      <selection activeCell="C10" sqref="C10"/>
    </sheetView>
  </sheetViews>
  <sheetFormatPr defaultColWidth="9.109375" defaultRowHeight="14.4" x14ac:dyDescent="0.3"/>
  <cols>
    <col min="1" max="1" width="17.21875" customWidth="1"/>
    <col min="2" max="2" width="14" customWidth="1"/>
    <col min="3" max="3" width="22" customWidth="1"/>
    <col min="4" max="4" width="26.6640625" customWidth="1"/>
    <col min="5" max="5" width="24.33203125" customWidth="1"/>
    <col min="6" max="6" width="17.5546875" customWidth="1"/>
    <col min="7" max="7" width="22.5546875" customWidth="1"/>
    <col min="8" max="8" width="26" bestFit="1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33" customHeight="1" x14ac:dyDescent="0.3">
      <c r="B1" s="16" t="s">
        <v>1</v>
      </c>
      <c r="C1" s="16"/>
      <c r="D1" s="11">
        <v>2026</v>
      </c>
      <c r="F1" s="8" t="s">
        <v>33</v>
      </c>
      <c r="G1" s="9">
        <v>5.0000000000000001E-3</v>
      </c>
    </row>
    <row r="2" spans="1:10" x14ac:dyDescent="0.3">
      <c r="B2" s="1" t="s">
        <v>17</v>
      </c>
      <c r="C2" s="1" t="s">
        <v>16</v>
      </c>
      <c r="D2" s="10" t="s">
        <v>18</v>
      </c>
    </row>
    <row r="3" spans="1:10" x14ac:dyDescent="0.3">
      <c r="B3" t="s">
        <v>4</v>
      </c>
      <c r="C3" s="2" t="e">
        <f>SUMIFS(#REF!,#REF!,Tabela54[[#This Row],[Tipo de manutenção]],#REF!,'Tratamento de Dados 2026'!$D$1)</f>
        <v>#REF!</v>
      </c>
      <c r="D3" s="3" t="e">
        <f>Tabela54[[#This Row],[Custo Total por tipo de manutenção (R$)]]/SUM(Tabela54[Custo Total por tipo de manutenção (R$)])</f>
        <v>#REF!</v>
      </c>
      <c r="E3" s="2"/>
    </row>
    <row r="4" spans="1:10" x14ac:dyDescent="0.3">
      <c r="B4" t="s">
        <v>5</v>
      </c>
      <c r="C4" s="2" t="e">
        <f>SUMIFS(#REF!,#REF!,Tabela54[[#This Row],[Tipo de manutenção]],#REF!,'Tratamento de Dados 2026'!$D$1)</f>
        <v>#REF!</v>
      </c>
      <c r="D4" s="3" t="e">
        <f>Tabela54[[#This Row],[Custo Total por tipo de manutenção (R$)]]/SUM(Tabela54[Custo Total por tipo de manutenção (R$)])</f>
        <v>#REF!</v>
      </c>
      <c r="E4" s="2"/>
    </row>
    <row r="5" spans="1:10" x14ac:dyDescent="0.3">
      <c r="B5" t="s">
        <v>0</v>
      </c>
      <c r="C5" s="2" t="e">
        <f>SUMIFS(#REF!,#REF!,Tabela54[[#This Row],[Tipo de manutenção]],#REF!,'Tratamento de Dados 2026'!$D$1)</f>
        <v>#REF!</v>
      </c>
      <c r="D5" s="3" t="e">
        <f>Tabela54[[#This Row],[Custo Total por tipo de manutenção (R$)]]/SUM(Tabela54[Custo Total por tipo de manutenção (R$)])</f>
        <v>#REF!</v>
      </c>
      <c r="E5" s="2"/>
    </row>
    <row r="6" spans="1:10" x14ac:dyDescent="0.3">
      <c r="B6" t="s">
        <v>2</v>
      </c>
      <c r="C6" s="2" t="e">
        <f>SUMIFS(#REF!,#REF!,Tabela54[[#This Row],[Tipo de manutenção]],#REF!,'Tratamento de Dados 2026'!$D$1)</f>
        <v>#REF!</v>
      </c>
      <c r="D6" s="3" t="e">
        <f>Tabela54[[#This Row],[Custo Total por tipo de manutenção (R$)]]/SUM(Tabela54[Custo Total por tipo de manutenção (R$)])</f>
        <v>#REF!</v>
      </c>
      <c r="E6" s="2"/>
    </row>
    <row r="7" spans="1:10" x14ac:dyDescent="0.3">
      <c r="B7" t="s">
        <v>3</v>
      </c>
      <c r="C7" s="2" t="e">
        <f>SUMIFS(#REF!,#REF!,Tabela54[[#This Row],[Tipo de manutenção]],#REF!,'Tratamento de Dados 2026'!$D$1)</f>
        <v>#REF!</v>
      </c>
      <c r="D7" s="3" t="e">
        <f>Tabela54[[#This Row],[Custo Total por tipo de manutenção (R$)]]/SUM(Tabela54[Custo Total por tipo de manutenção (R$)])</f>
        <v>#REF!</v>
      </c>
      <c r="E7" s="2"/>
    </row>
    <row r="8" spans="1:10" x14ac:dyDescent="0.3">
      <c r="D8" s="7" t="e">
        <f>SUM(D3:D7)</f>
        <v>#REF!</v>
      </c>
    </row>
    <row r="10" spans="1:10" ht="28.8" x14ac:dyDescent="0.3">
      <c r="A10" s="12" t="s">
        <v>32</v>
      </c>
      <c r="B10" s="13" t="s">
        <v>19</v>
      </c>
      <c r="C10" s="13" t="s">
        <v>6</v>
      </c>
      <c r="D10" s="14" t="s">
        <v>4</v>
      </c>
      <c r="E10" s="14" t="s">
        <v>5</v>
      </c>
      <c r="F10" s="14" t="s">
        <v>0</v>
      </c>
      <c r="G10" s="14" t="s">
        <v>2</v>
      </c>
      <c r="H10" s="14" t="s">
        <v>26</v>
      </c>
      <c r="I10" s="14" t="s">
        <v>31</v>
      </c>
      <c r="J10" s="14" t="s">
        <v>21</v>
      </c>
    </row>
    <row r="11" spans="1:10" x14ac:dyDescent="0.3">
      <c r="A11" s="17">
        <v>647585.69999999995</v>
      </c>
      <c r="B11" s="15">
        <v>2026</v>
      </c>
      <c r="C11" s="15" t="s">
        <v>7</v>
      </c>
      <c r="D11" s="17">
        <v>2330</v>
      </c>
      <c r="E11" s="17">
        <v>900</v>
      </c>
      <c r="F11" s="17">
        <v>0</v>
      </c>
      <c r="G11" s="17">
        <v>0</v>
      </c>
      <c r="H11" s="17">
        <v>0</v>
      </c>
      <c r="I11" s="17">
        <v>3237.9285</v>
      </c>
      <c r="J11" s="17">
        <v>3230</v>
      </c>
    </row>
    <row r="12" spans="1:10" x14ac:dyDescent="0.3">
      <c r="A12" s="17">
        <v>844687.4</v>
      </c>
      <c r="B12" s="15">
        <v>2026</v>
      </c>
      <c r="C12" s="15" t="s">
        <v>8</v>
      </c>
      <c r="D12" s="17">
        <v>1800</v>
      </c>
      <c r="E12" s="17">
        <v>2445</v>
      </c>
      <c r="F12" s="17">
        <v>0</v>
      </c>
      <c r="G12" s="17">
        <v>0</v>
      </c>
      <c r="H12" s="17">
        <v>600</v>
      </c>
      <c r="I12" s="17">
        <v>4223.4369999999999</v>
      </c>
      <c r="J12" s="17">
        <v>4845</v>
      </c>
    </row>
    <row r="13" spans="1:10" x14ac:dyDescent="0.3">
      <c r="A13" s="17">
        <v>753982.97</v>
      </c>
      <c r="B13" s="15">
        <v>2026</v>
      </c>
      <c r="C13" s="15" t="s">
        <v>27</v>
      </c>
      <c r="D13" s="17">
        <v>10476.219999999999</v>
      </c>
      <c r="E13" s="17">
        <v>460</v>
      </c>
      <c r="F13" s="17">
        <v>0</v>
      </c>
      <c r="G13" s="17">
        <v>0</v>
      </c>
      <c r="H13" s="17">
        <v>0</v>
      </c>
      <c r="I13" s="17">
        <v>3769.9148500000001</v>
      </c>
      <c r="J13" s="17">
        <v>10936.22</v>
      </c>
    </row>
  </sheetData>
  <mergeCells count="1">
    <mergeCell ref="B1:C1"/>
  </mergeCells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2026-04-22T18:37:52Z</dcterms:modified>
</cp:coreProperties>
</file>