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70575143-D58E-4BEA-A642-CE60D1DC7402}" xr6:coauthVersionLast="47" xr6:coauthVersionMax="47" xr10:uidLastSave="{00000000-0000-0000-0000-000000000000}"/>
  <bookViews>
    <workbookView xWindow="-108" yWindow="-108" windowWidth="23256" windowHeight="12456" tabRatio="763" activeTab="5" xr2:uid="{00000000-000D-0000-FFFF-FFFF00000000}"/>
  </bookViews>
  <sheets>
    <sheet name="Dados_OS" sheetId="1" r:id="rId1"/>
    <sheet name="Tratamento de Dados 2025" sheetId="2" r:id="rId2"/>
    <sheet name="Planilha2" sheetId="5" state="hidden" r:id="rId3"/>
    <sheet name="Graficos de Custos 2025" sheetId="3" r:id="rId4"/>
    <sheet name="Tratamento de Dados 2026" sheetId="6" r:id="rId5"/>
    <sheet name="Graficos de Custos 2026" sheetId="7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1" l="1"/>
  <c r="L54" i="1" s="1"/>
  <c r="D54" i="1"/>
  <c r="E54" i="1"/>
  <c r="D56" i="1" l="1"/>
  <c r="E56" i="1"/>
  <c r="K56" i="1"/>
  <c r="L56" i="1"/>
  <c r="D55" i="1" l="1"/>
  <c r="E55" i="1"/>
  <c r="K55" i="1"/>
  <c r="L55" i="1"/>
  <c r="D53" i="1" l="1"/>
  <c r="E53" i="1"/>
  <c r="K53" i="1"/>
  <c r="L53" i="1"/>
  <c r="D52" i="1" l="1"/>
  <c r="E52" i="1"/>
  <c r="K52" i="1"/>
  <c r="L52" i="1"/>
  <c r="D51" i="1" l="1"/>
  <c r="E51" i="1"/>
  <c r="K51" i="1"/>
  <c r="L51" i="1"/>
  <c r="D29" i="1" l="1"/>
  <c r="E29" i="1"/>
  <c r="K29" i="1"/>
  <c r="L29" i="1"/>
  <c r="G16" i="2" l="1"/>
  <c r="G17" i="2"/>
  <c r="D24" i="1" l="1"/>
  <c r="E24" i="1"/>
  <c r="K24" i="1"/>
  <c r="L24" i="1"/>
  <c r="D13" i="1" l="1"/>
  <c r="E13" i="1"/>
  <c r="K13" i="1"/>
  <c r="L13" i="1"/>
  <c r="D28" i="1"/>
  <c r="E28" i="1"/>
  <c r="K28" i="1"/>
  <c r="L28" i="1"/>
  <c r="D27" i="1" l="1"/>
  <c r="E27" i="1"/>
  <c r="K27" i="1"/>
  <c r="L27" i="1"/>
  <c r="D26" i="1"/>
  <c r="E26" i="1"/>
  <c r="K26" i="1"/>
  <c r="L26" i="1"/>
  <c r="I25" i="1" l="1"/>
  <c r="D25" i="1" l="1"/>
  <c r="E25" i="1"/>
  <c r="K25" i="1"/>
  <c r="L25" i="1"/>
  <c r="D50" i="1" l="1"/>
  <c r="E50" i="1"/>
  <c r="K50" i="1"/>
  <c r="L50" i="1"/>
  <c r="D23" i="1" l="1"/>
  <c r="E23" i="1"/>
  <c r="K23" i="1"/>
  <c r="L23" i="1"/>
  <c r="H17" i="2" l="1"/>
  <c r="H16" i="6"/>
  <c r="D10" i="1"/>
  <c r="E10" i="1"/>
  <c r="K10" i="1"/>
  <c r="L10" i="1"/>
  <c r="C6" i="6" l="1"/>
  <c r="C7" i="6"/>
  <c r="H13" i="6"/>
  <c r="H14" i="6"/>
  <c r="H15" i="6"/>
  <c r="H17" i="6"/>
  <c r="H18" i="6"/>
  <c r="H19" i="6"/>
  <c r="H20" i="6"/>
  <c r="H21" i="6"/>
  <c r="H22" i="6"/>
  <c r="H23" i="6"/>
  <c r="G13" i="6"/>
  <c r="G14" i="6"/>
  <c r="G15" i="6"/>
  <c r="G16" i="6"/>
  <c r="G17" i="6"/>
  <c r="G18" i="6"/>
  <c r="G19" i="6"/>
  <c r="G20" i="6"/>
  <c r="G21" i="6"/>
  <c r="G22" i="6"/>
  <c r="G23" i="6"/>
  <c r="I13" i="2"/>
  <c r="I14" i="2"/>
  <c r="I15" i="2"/>
  <c r="I16" i="2"/>
  <c r="I17" i="2"/>
  <c r="I18" i="2"/>
  <c r="I19" i="2"/>
  <c r="I20" i="2"/>
  <c r="I21" i="2"/>
  <c r="I22" i="2"/>
  <c r="I23" i="2"/>
  <c r="I12" i="2"/>
  <c r="I12" i="6"/>
  <c r="I13" i="6"/>
  <c r="I14" i="6"/>
  <c r="I15" i="6"/>
  <c r="I16" i="6"/>
  <c r="I17" i="6"/>
  <c r="I18" i="6"/>
  <c r="I19" i="6"/>
  <c r="I20" i="6"/>
  <c r="I21" i="6"/>
  <c r="I22" i="6"/>
  <c r="I23" i="6"/>
  <c r="H12" i="6"/>
  <c r="G12" i="6"/>
  <c r="D39" i="1" l="1"/>
  <c r="E39" i="1"/>
  <c r="K39" i="1"/>
  <c r="L39" i="1"/>
  <c r="E6" i="1"/>
  <c r="D2" i="1"/>
  <c r="E2" i="1"/>
  <c r="K2" i="1"/>
  <c r="L2" i="1"/>
  <c r="D3" i="1"/>
  <c r="E3" i="1"/>
  <c r="K3" i="1"/>
  <c r="L3" i="1"/>
  <c r="D32" i="1"/>
  <c r="E32" i="1"/>
  <c r="K32" i="1"/>
  <c r="L32" i="1"/>
  <c r="D34" i="1"/>
  <c r="E34" i="1"/>
  <c r="K34" i="1"/>
  <c r="L34" i="1"/>
  <c r="D4" i="1"/>
  <c r="E4" i="1"/>
  <c r="K4" i="1"/>
  <c r="L4" i="1"/>
  <c r="D5" i="1"/>
  <c r="E5" i="1"/>
  <c r="K5" i="1"/>
  <c r="L5" i="1"/>
  <c r="D6" i="1"/>
  <c r="K6" i="1"/>
  <c r="L6" i="1"/>
  <c r="D36" i="1"/>
  <c r="E36" i="1"/>
  <c r="K36" i="1"/>
  <c r="L36" i="1"/>
  <c r="D38" i="1"/>
  <c r="E38" i="1"/>
  <c r="K38" i="1"/>
  <c r="L38" i="1"/>
  <c r="D7" i="1"/>
  <c r="E7" i="1"/>
  <c r="K7" i="1"/>
  <c r="L7" i="1"/>
  <c r="C6" i="2" l="1"/>
  <c r="C7" i="2"/>
  <c r="D30" i="1"/>
  <c r="D31" i="1"/>
  <c r="D33" i="1"/>
  <c r="D35" i="1"/>
  <c r="D37" i="1"/>
  <c r="E30" i="1"/>
  <c r="E31" i="1"/>
  <c r="E33" i="1"/>
  <c r="E35" i="1"/>
  <c r="E37" i="1"/>
  <c r="K30" i="1"/>
  <c r="K31" i="1"/>
  <c r="K33" i="1"/>
  <c r="K35" i="1"/>
  <c r="K37" i="1"/>
  <c r="L30" i="1"/>
  <c r="L31" i="1"/>
  <c r="L33" i="1"/>
  <c r="L35" i="1"/>
  <c r="L37" i="1"/>
  <c r="G12" i="2"/>
  <c r="G13" i="2"/>
  <c r="G14" i="2"/>
  <c r="G15" i="2"/>
  <c r="H12" i="2"/>
  <c r="H13" i="2"/>
  <c r="H14" i="2"/>
  <c r="H15" i="2"/>
  <c r="H16" i="2"/>
  <c r="D22" i="1" l="1"/>
  <c r="E22" i="1"/>
  <c r="K22" i="1"/>
  <c r="L22" i="1"/>
  <c r="D21" i="1"/>
  <c r="E21" i="1"/>
  <c r="K21" i="1"/>
  <c r="L21" i="1"/>
  <c r="D20" i="1"/>
  <c r="E20" i="1"/>
  <c r="K20" i="1"/>
  <c r="L20" i="1"/>
  <c r="D19" i="1"/>
  <c r="E19" i="1"/>
  <c r="K19" i="1"/>
  <c r="L19" i="1"/>
  <c r="D17" i="1"/>
  <c r="E17" i="1"/>
  <c r="K17" i="1"/>
  <c r="L17" i="1"/>
  <c r="D15" i="1"/>
  <c r="E15" i="1"/>
  <c r="K15" i="1"/>
  <c r="L15" i="1"/>
  <c r="D18" i="1"/>
  <c r="E18" i="1"/>
  <c r="K18" i="1"/>
  <c r="L18" i="1"/>
  <c r="D16" i="1"/>
  <c r="E16" i="1"/>
  <c r="K16" i="1"/>
  <c r="L16" i="1"/>
  <c r="D48" i="1"/>
  <c r="E48" i="1"/>
  <c r="K48" i="1"/>
  <c r="L48" i="1"/>
  <c r="D49" i="1"/>
  <c r="E49" i="1"/>
  <c r="K49" i="1"/>
  <c r="L49" i="1"/>
  <c r="D45" i="1"/>
  <c r="E45" i="1"/>
  <c r="K45" i="1"/>
  <c r="L45" i="1"/>
  <c r="D46" i="1"/>
  <c r="E46" i="1"/>
  <c r="K46" i="1"/>
  <c r="L46" i="1"/>
  <c r="D47" i="1"/>
  <c r="E47" i="1"/>
  <c r="K47" i="1"/>
  <c r="L47" i="1"/>
  <c r="D43" i="1"/>
  <c r="E43" i="1"/>
  <c r="K43" i="1"/>
  <c r="L43" i="1"/>
  <c r="D44" i="1"/>
  <c r="E44" i="1"/>
  <c r="K44" i="1"/>
  <c r="L44" i="1"/>
  <c r="D42" i="1"/>
  <c r="E42" i="1"/>
  <c r="K42" i="1"/>
  <c r="L42" i="1"/>
  <c r="D41" i="1"/>
  <c r="E41" i="1"/>
  <c r="K41" i="1"/>
  <c r="L41" i="1"/>
  <c r="D40" i="1"/>
  <c r="E40" i="1"/>
  <c r="K40" i="1"/>
  <c r="L40" i="1"/>
  <c r="C5" i="6" l="1"/>
  <c r="F18" i="6"/>
  <c r="F19" i="6"/>
  <c r="F20" i="6"/>
  <c r="F21" i="6"/>
  <c r="F22" i="6"/>
  <c r="F23" i="6"/>
  <c r="F17" i="6"/>
  <c r="F12" i="6"/>
  <c r="F13" i="6"/>
  <c r="F14" i="6"/>
  <c r="F16" i="6"/>
  <c r="F15" i="6"/>
  <c r="C5" i="2"/>
  <c r="F14" i="2"/>
  <c r="F16" i="2"/>
  <c r="F15" i="2"/>
  <c r="F12" i="2"/>
  <c r="F13" i="2"/>
  <c r="F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D14" i="1"/>
  <c r="D9" i="1"/>
  <c r="D8" i="1"/>
  <c r="D11" i="1"/>
  <c r="D12" i="1"/>
  <c r="C4" i="6" s="1"/>
  <c r="E14" i="1" l="1"/>
  <c r="E9" i="1"/>
  <c r="E8" i="1"/>
  <c r="D16" i="6" s="1"/>
  <c r="E11" i="1"/>
  <c r="E12" i="1"/>
  <c r="E12" i="6" s="1"/>
  <c r="K12" i="1"/>
  <c r="L12" i="1"/>
  <c r="D21" i="6" l="1"/>
  <c r="D23" i="6"/>
  <c r="D15" i="6"/>
  <c r="D17" i="6"/>
  <c r="D18" i="6"/>
  <c r="D20" i="6"/>
  <c r="D19" i="6"/>
  <c r="D22" i="6"/>
  <c r="D13" i="6"/>
  <c r="D14" i="6"/>
  <c r="E20" i="6"/>
  <c r="E16" i="6"/>
  <c r="E21" i="6"/>
  <c r="E17" i="6"/>
  <c r="E13" i="6"/>
  <c r="E22" i="6"/>
  <c r="E23" i="6"/>
  <c r="E18" i="6"/>
  <c r="E14" i="6"/>
  <c r="E19" i="6"/>
  <c r="E15" i="6"/>
  <c r="C4" i="2"/>
  <c r="D16" i="2"/>
  <c r="D12" i="2"/>
  <c r="D13" i="2"/>
  <c r="D14" i="2"/>
  <c r="D15" i="2"/>
  <c r="E13" i="2"/>
  <c r="E14" i="2"/>
  <c r="E15" i="2"/>
  <c r="E16" i="2"/>
  <c r="E12" i="2"/>
  <c r="D18" i="2"/>
  <c r="D19" i="2"/>
  <c r="D20" i="2"/>
  <c r="D21" i="2"/>
  <c r="D17" i="2"/>
  <c r="E22" i="2"/>
  <c r="E19" i="2"/>
  <c r="E18" i="2"/>
  <c r="E17" i="2"/>
  <c r="E23" i="2"/>
  <c r="E21" i="2"/>
  <c r="E20" i="2"/>
  <c r="K11" i="1"/>
  <c r="L11" i="1"/>
  <c r="K9" i="1"/>
  <c r="K8" i="1"/>
  <c r="K14" i="1"/>
  <c r="J18" i="6" l="1"/>
  <c r="J17" i="6"/>
  <c r="J15" i="6"/>
  <c r="J21" i="6"/>
  <c r="J19" i="6"/>
  <c r="J16" i="6"/>
  <c r="J14" i="6"/>
  <c r="J20" i="6"/>
  <c r="J13" i="6"/>
  <c r="J19" i="2"/>
  <c r="J21" i="2"/>
  <c r="J17" i="2"/>
  <c r="J18" i="2"/>
  <c r="J20" i="2"/>
  <c r="J15" i="2"/>
  <c r="J14" i="2"/>
  <c r="J13" i="2"/>
  <c r="J12" i="2"/>
  <c r="J16" i="2"/>
  <c r="L8" i="1"/>
  <c r="L9" i="1"/>
  <c r="L14" i="1"/>
  <c r="D12" i="6" l="1"/>
  <c r="J12" i="6" s="1"/>
  <c r="C3" i="6"/>
  <c r="J23" i="6"/>
  <c r="D22" i="2"/>
  <c r="J22" i="2" s="1"/>
  <c r="J22" i="6"/>
  <c r="D23" i="2"/>
  <c r="C3" i="2"/>
  <c r="D3" i="6" l="1"/>
  <c r="D6" i="6"/>
  <c r="D5" i="6"/>
  <c r="J23" i="2"/>
  <c r="D7" i="6"/>
  <c r="D4" i="6"/>
  <c r="D3" i="2"/>
  <c r="D6" i="2"/>
  <c r="D7" i="2"/>
  <c r="D5" i="2"/>
  <c r="D4" i="2"/>
  <c r="D8" i="6" l="1"/>
  <c r="D8" i="2"/>
</calcChain>
</file>

<file path=xl/sharedStrings.xml><?xml version="1.0" encoding="utf-8"?>
<sst xmlns="http://schemas.openxmlformats.org/spreadsheetml/2006/main" count="299" uniqueCount="102">
  <si>
    <t>OS</t>
  </si>
  <si>
    <t>Equipamento</t>
  </si>
  <si>
    <t>Tipo_Manutencao</t>
  </si>
  <si>
    <t>Custo_MO</t>
  </si>
  <si>
    <t>Custo_Materiais</t>
  </si>
  <si>
    <t>Tempo_Parada_h</t>
  </si>
  <si>
    <t>Custo_Total</t>
  </si>
  <si>
    <t>Preventiva</t>
  </si>
  <si>
    <t>Resumo de Custos por Tipo de Manutenção</t>
  </si>
  <si>
    <t>Preditiva</t>
  </si>
  <si>
    <t>Melhoria</t>
  </si>
  <si>
    <t>Compressor Chicago Pneumatic</t>
  </si>
  <si>
    <t>Tag - Identificação</t>
  </si>
  <si>
    <t>COMP 002</t>
  </si>
  <si>
    <t>Compressor Rand Ingersol</t>
  </si>
  <si>
    <t>COMP 001</t>
  </si>
  <si>
    <t>Data de Abertura</t>
  </si>
  <si>
    <t>Data de Fechamento</t>
  </si>
  <si>
    <t>Compressor schulz msv 20</t>
  </si>
  <si>
    <t>COMP 003</t>
  </si>
  <si>
    <t>Empilhadeira a Gás Toyota</t>
  </si>
  <si>
    <t>EMH 001</t>
  </si>
  <si>
    <t>Corretiva não programada</t>
  </si>
  <si>
    <t>Corretiva programada</t>
  </si>
  <si>
    <t>Mês</t>
  </si>
  <si>
    <t>Custo de manutenção mensal</t>
  </si>
  <si>
    <t>Janeiro</t>
  </si>
  <si>
    <t>Fevereiro</t>
  </si>
  <si>
    <t>Junho</t>
  </si>
  <si>
    <t>Julho</t>
  </si>
  <si>
    <t>Agosto</t>
  </si>
  <si>
    <t>Setembro</t>
  </si>
  <si>
    <t>Outubro</t>
  </si>
  <si>
    <t>Novembro</t>
  </si>
  <si>
    <t>Dezembro</t>
  </si>
  <si>
    <t>Mês Fechamento</t>
  </si>
  <si>
    <t>Custo Total por tipo de manutenção (R$)</t>
  </si>
  <si>
    <t>Tipo de manutenção</t>
  </si>
  <si>
    <t>Percentual de custo total por tipo</t>
  </si>
  <si>
    <t>Ano</t>
  </si>
  <si>
    <t>Rótulos de Linha</t>
  </si>
  <si>
    <t>Total Geral</t>
  </si>
  <si>
    <t>Corretiva não programada Total</t>
  </si>
  <si>
    <t>Manutenção Preditiva Total</t>
  </si>
  <si>
    <t>Manutenção Preventiva Total</t>
  </si>
  <si>
    <t>Corretiva programada Total</t>
  </si>
  <si>
    <t>-</t>
  </si>
  <si>
    <t>Melhoria de Máquinas</t>
  </si>
  <si>
    <t>Máquina de Solda</t>
  </si>
  <si>
    <t>MQS 007</t>
  </si>
  <si>
    <t>MQS 004</t>
  </si>
  <si>
    <t>Compressor de ar</t>
  </si>
  <si>
    <t>Esmerilhadeira</t>
  </si>
  <si>
    <t>1-M9510</t>
  </si>
  <si>
    <t>Parafusadeira</t>
  </si>
  <si>
    <t>Serra Makita</t>
  </si>
  <si>
    <t xml:space="preserve">Cortadora Plasma </t>
  </si>
  <si>
    <t>PML 001</t>
  </si>
  <si>
    <t>Março</t>
  </si>
  <si>
    <t>Abril</t>
  </si>
  <si>
    <t>Maio</t>
  </si>
  <si>
    <t>02/01/2025 17:00</t>
  </si>
  <si>
    <t>26/01/2025 00:00</t>
  </si>
  <si>
    <t>02/02/2025 17:00</t>
  </si>
  <si>
    <t>20/02/2025 04:00</t>
  </si>
  <si>
    <t>11/02/2025 02:30</t>
  </si>
  <si>
    <t>02/03/2025 17:00</t>
  </si>
  <si>
    <t>03/03/2025 23:15</t>
  </si>
  <si>
    <t>22/03/2025 03:45</t>
  </si>
  <si>
    <t>22/03/2025 08:00</t>
  </si>
  <si>
    <t>02/04/2025 17:00</t>
  </si>
  <si>
    <t>13/04/2025 07:45</t>
  </si>
  <si>
    <t>02/05/2025 17:00</t>
  </si>
  <si>
    <t>06/05/2025 13:15</t>
  </si>
  <si>
    <t>14/05/2025 23:45</t>
  </si>
  <si>
    <t>Soma de Limite de custos</t>
  </si>
  <si>
    <t>0,5% do Faturamento Bruto Mensal</t>
  </si>
  <si>
    <t>total</t>
  </si>
  <si>
    <t>Torno Convencional</t>
  </si>
  <si>
    <t>TCNV 003</t>
  </si>
  <si>
    <t>Faturamento Mensal</t>
  </si>
  <si>
    <t>Meta</t>
  </si>
  <si>
    <t>Faturemento Mensal</t>
  </si>
  <si>
    <t>Serra fita horizontal Franho</t>
  </si>
  <si>
    <t>SFH 001</t>
  </si>
  <si>
    <t>Jato pressurizado</t>
  </si>
  <si>
    <t>JPS 001</t>
  </si>
  <si>
    <t>Sistema de ar comprimido</t>
  </si>
  <si>
    <t>Serviços Gerais</t>
  </si>
  <si>
    <t>Compressor Schulz MSV 20 MAX 250</t>
  </si>
  <si>
    <t>Centro de Usinagem Vertical ROMI Bridgep Discovery 560</t>
  </si>
  <si>
    <t>CCNC 001</t>
  </si>
  <si>
    <t>Serra circular Coteza A400</t>
  </si>
  <si>
    <t>SRC 001</t>
  </si>
  <si>
    <t>Torno Convencional Romi Tormax 30B</t>
  </si>
  <si>
    <t>TCNV 001</t>
  </si>
  <si>
    <t>Torno mecânico Nardini ND250</t>
  </si>
  <si>
    <t>TCNV 002</t>
  </si>
  <si>
    <t>INFRA-001</t>
  </si>
  <si>
    <t>Torno mecânico Magnum Cut FEL 1440 GWM</t>
  </si>
  <si>
    <t xml:space="preserve">Serra circular Cortesa A400 </t>
  </si>
  <si>
    <t>Instalação de ventiladores de parede na área de acabamento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</si>
</sst>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mm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/>
      <name val="Arial"/>
      <family val="2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44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2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9" fontId="0" fillId="4" borderId="0" xfId="0" applyNumberFormat="1" applyFill="1"/>
    <xf numFmtId="44" fontId="0" fillId="0" borderId="0" xfId="1" applyFont="1" applyAlignment="1">
      <alignment horizontal="center" vertical="center" wrapText="1"/>
    </xf>
    <xf numFmtId="44" fontId="6" fillId="0" borderId="0" xfId="1" applyFont="1"/>
    <xf numFmtId="0" fontId="7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4" fontId="0" fillId="0" borderId="0" xfId="0" applyNumberFormat="1"/>
    <xf numFmtId="44" fontId="8" fillId="0" borderId="0" xfId="1" applyFont="1"/>
    <xf numFmtId="44" fontId="8" fillId="6" borderId="2" xfId="1" applyFont="1" applyFill="1" applyBorder="1"/>
    <xf numFmtId="44" fontId="8" fillId="7" borderId="2" xfId="1" applyFont="1" applyFill="1" applyBorder="1"/>
    <xf numFmtId="0" fontId="9" fillId="8" borderId="3" xfId="0" applyFont="1" applyFill="1" applyBorder="1" applyAlignment="1">
      <alignment horizontal="center" vertical="center"/>
    </xf>
    <xf numFmtId="10" fontId="9" fillId="8" borderId="3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vertical="center" wrapText="1"/>
    </xf>
    <xf numFmtId="44" fontId="0" fillId="0" borderId="0" xfId="1" applyFont="1" applyAlignment="1">
      <alignment vertical="center"/>
    </xf>
    <xf numFmtId="44" fontId="1" fillId="0" borderId="0" xfId="1" applyFont="1" applyAlignment="1">
      <alignment horizontal="center" vertical="center"/>
    </xf>
    <xf numFmtId="1" fontId="0" fillId="0" borderId="0" xfId="0" applyNumberFormat="1"/>
    <xf numFmtId="0" fontId="10" fillId="0" borderId="0" xfId="0" applyFont="1"/>
    <xf numFmtId="0" fontId="11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44" fontId="6" fillId="0" borderId="0" xfId="1" applyFont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27" formatCode="dd/mm/yyyy\ hh:mm"/>
      <alignment horizontal="right" vertical="center" textRotation="0" wrapText="0" indent="0" justifyLastLine="0" shrinkToFit="0" readingOrder="0"/>
    </dxf>
    <dxf>
      <numFmt numFmtId="27" formatCode="dd/mm/yyyy\ hh:mm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Custos de Manutencão.xlsx]Planilha2!Tabela dinâmica15</c:name>
    <c:fmtId val="7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6.8571428571428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6.8571428571428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6.8571428571428505E-2"/>
            </c:manualLayout>
          </c:layout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1.7110007916295866E-17"/>
              <c:y val="-1.7510944340212723E-2"/>
            </c:manualLayout>
          </c:layout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4.6664197016093173E-3"/>
              <c:y val="-9.1722934571851356E-17"/>
            </c:manualLayout>
          </c:layout>
          <c:numFmt formatCode="&quot;R$&quot;\ #,##0.00;\-&quot;R$&quot;\ #,##0.00;&quot;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19050" cap="flat">
            <a:solidFill>
              <a:schemeClr val="accent6">
                <a:lumMod val="75000"/>
              </a:schemeClr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6">
                <a:lumMod val="75000"/>
              </a:schemeClr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4961104763365E-2"/>
          <c:y val="7.6996941986379283E-2"/>
          <c:w val="0.81697646929933665"/>
          <c:h val="0.77371959837102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Corretiva não programada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8D2-49EC-ACE5-848A6A9DBB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Planilha2!$A$4:$A$20</c:f>
              <c:multiLvlStrCache>
                <c:ptCount val="14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  <c:pt idx="12">
                    <c:v>Janeiro</c:v>
                  </c:pt>
                  <c:pt idx="13">
                    <c:v>Fevereiro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Planilha2!$B$4:$B$20</c:f>
              <c:numCache>
                <c:formatCode>General</c:formatCode>
                <c:ptCount val="14"/>
                <c:pt idx="0">
                  <c:v>5992.48</c:v>
                </c:pt>
                <c:pt idx="1">
                  <c:v>6150.51</c:v>
                </c:pt>
                <c:pt idx="2">
                  <c:v>3431.61</c:v>
                </c:pt>
                <c:pt idx="3">
                  <c:v>5788.41</c:v>
                </c:pt>
                <c:pt idx="4">
                  <c:v>7191.1100000000006</c:v>
                </c:pt>
                <c:pt idx="5">
                  <c:v>503.03</c:v>
                </c:pt>
                <c:pt idx="6">
                  <c:v>0</c:v>
                </c:pt>
                <c:pt idx="7">
                  <c:v>0</c:v>
                </c:pt>
                <c:pt idx="8">
                  <c:v>1276.67</c:v>
                </c:pt>
                <c:pt idx="9">
                  <c:v>976.67</c:v>
                </c:pt>
                <c:pt idx="10">
                  <c:v>500</c:v>
                </c:pt>
                <c:pt idx="11">
                  <c:v>8201.619999999999</c:v>
                </c:pt>
                <c:pt idx="12">
                  <c:v>6558.2</c:v>
                </c:pt>
                <c:pt idx="1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2-49EC-ACE5-848A6A9DBBD4}"/>
            </c:ext>
          </c:extLst>
        </c:ser>
        <c:ser>
          <c:idx val="1"/>
          <c:order val="1"/>
          <c:tx>
            <c:strRef>
              <c:f>Planilha2!$C$3</c:f>
              <c:strCache>
                <c:ptCount val="1"/>
                <c:pt idx="0">
                  <c:v>Corretiva programada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Planilha2!$A$4:$A$20</c:f>
              <c:multiLvlStrCache>
                <c:ptCount val="14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  <c:pt idx="12">
                    <c:v>Janeiro</c:v>
                  </c:pt>
                  <c:pt idx="13">
                    <c:v>Fevereiro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Planilha2!$C$4:$C$20</c:f>
              <c:numCache>
                <c:formatCode>General</c:formatCode>
                <c:ptCount val="14"/>
                <c:pt idx="0">
                  <c:v>2976.1000000000004</c:v>
                </c:pt>
                <c:pt idx="1">
                  <c:v>2288.54</c:v>
                </c:pt>
                <c:pt idx="2">
                  <c:v>1863.39</c:v>
                </c:pt>
                <c:pt idx="3">
                  <c:v>690.45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2372.14</c:v>
                </c:pt>
                <c:pt idx="8">
                  <c:v>2372.13</c:v>
                </c:pt>
                <c:pt idx="9">
                  <c:v>2372.13</c:v>
                </c:pt>
                <c:pt idx="10">
                  <c:v>4007.3999999999996</c:v>
                </c:pt>
                <c:pt idx="11">
                  <c:v>2708.2</c:v>
                </c:pt>
                <c:pt idx="12">
                  <c:v>2758</c:v>
                </c:pt>
                <c:pt idx="13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2-49EC-ACE5-848A6A9DBBD4}"/>
            </c:ext>
          </c:extLst>
        </c:ser>
        <c:ser>
          <c:idx val="2"/>
          <c:order val="2"/>
          <c:tx>
            <c:strRef>
              <c:f>Planilha2!$D$3</c:f>
              <c:strCache>
                <c:ptCount val="1"/>
                <c:pt idx="0">
                  <c:v>Manutenção Preventiva 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Planilha2!$A$4:$A$20</c:f>
              <c:multiLvlStrCache>
                <c:ptCount val="14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  <c:pt idx="12">
                    <c:v>Janeiro</c:v>
                  </c:pt>
                  <c:pt idx="13">
                    <c:v>Fevereiro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Planilha2!$D$4:$D$20</c:f>
              <c:numCache>
                <c:formatCode>General</c:formatCode>
                <c:ptCount val="14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  <c:pt idx="7">
                  <c:v>4200</c:v>
                </c:pt>
                <c:pt idx="8">
                  <c:v>4200</c:v>
                </c:pt>
                <c:pt idx="9">
                  <c:v>4200</c:v>
                </c:pt>
                <c:pt idx="10">
                  <c:v>1775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D2-49EC-ACE5-848A6A9DBBD4}"/>
            </c:ext>
          </c:extLst>
        </c:ser>
        <c:ser>
          <c:idx val="3"/>
          <c:order val="3"/>
          <c:tx>
            <c:strRef>
              <c:f>Planilha2!$E$3</c:f>
              <c:strCache>
                <c:ptCount val="1"/>
                <c:pt idx="0">
                  <c:v>Manutenção Preditiva 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Planilha2!$A$4:$A$20</c:f>
              <c:multiLvlStrCache>
                <c:ptCount val="14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  <c:pt idx="12">
                    <c:v>Janeiro</c:v>
                  </c:pt>
                  <c:pt idx="13">
                    <c:v>Fevereiro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Planilha2!$E$4:$E$20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D2-49EC-ACE5-848A6A9DBB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318367"/>
        <c:axId val="105322527"/>
      </c:barChart>
      <c:lineChart>
        <c:grouping val="standard"/>
        <c:varyColors val="0"/>
        <c:ser>
          <c:idx val="4"/>
          <c:order val="4"/>
          <c:tx>
            <c:strRef>
              <c:f>Planilha2!$F$3</c:f>
              <c:strCache>
                <c:ptCount val="1"/>
                <c:pt idx="0">
                  <c:v>Soma de Limite de custos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Planilha2!$A$4:$A$20</c:f>
              <c:multiLvlStrCache>
                <c:ptCount val="14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  <c:pt idx="12">
                    <c:v>Janeiro</c:v>
                  </c:pt>
                  <c:pt idx="13">
                    <c:v>Fevereiro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Planilha2!$F$4:$F$20</c:f>
              <c:numCache>
                <c:formatCode>General</c:formatCode>
                <c:ptCount val="14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8D2-49EC-ACE5-848A6A9DB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18367"/>
        <c:axId val="105322527"/>
      </c:lineChart>
      <c:catAx>
        <c:axId val="105318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322527"/>
        <c:crosses val="autoZero"/>
        <c:auto val="1"/>
        <c:lblAlgn val="ctr"/>
        <c:lblOffset val="100"/>
        <c:noMultiLvlLbl val="0"/>
      </c:catAx>
      <c:valAx>
        <c:axId val="1053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31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45437846322557"/>
          <c:y val="0.31524584755235802"/>
          <c:w val="0.15658442053777236"/>
          <c:h val="0.53382438827416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Custo Total por tipo de manutenção 2025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'Tratamento de Dados 2025'!$C$2</c:f>
              <c:strCache>
                <c:ptCount val="1"/>
                <c:pt idx="0">
                  <c:v>Custo Total por tipo de manutenção (R$)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3"/>
              <c:layout>
                <c:manualLayout>
                  <c:x val="-1.5661816861429604E-5"/>
                  <c:y val="2.8922454732069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C-4D29-BB7D-F9A34EDD7580}"/>
                </c:ext>
              </c:extLst>
            </c:dLbl>
            <c:numFmt formatCode="&quot;R$&quot;\ #,##0.00;\-&quot;R$&quot;\ #,##0.00;&quot;&quot;" sourceLinked="0"/>
            <c:spPr>
              <a:noFill/>
              <a:ln w="12700"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 w="25400">
                      <a:noFill/>
                    </a:ln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2025'!$B$3:$B$7</c:f>
              <c:strCache>
                <c:ptCount val="5"/>
                <c:pt idx="0">
                  <c:v>Corretiva não programada</c:v>
                </c:pt>
                <c:pt idx="1">
                  <c:v>Corretiva programada</c:v>
                </c:pt>
                <c:pt idx="2">
                  <c:v>Preventiva</c:v>
                </c:pt>
                <c:pt idx="3">
                  <c:v>Preditiva</c:v>
                </c:pt>
                <c:pt idx="4">
                  <c:v>Melhoria</c:v>
                </c:pt>
              </c:strCache>
            </c:strRef>
          </c:cat>
          <c:val>
            <c:numRef>
              <c:f>'Tratamento de Dados 2025'!$C$3:$C$7</c:f>
              <c:numCache>
                <c:formatCode>_("R$"* #,##0.00_);_("R$"* \(#,##0.00\);_("R$"* "-"??_);_(@_)</c:formatCode>
                <c:ptCount val="5"/>
                <c:pt idx="0">
                  <c:v>8507.5299999999988</c:v>
                </c:pt>
                <c:pt idx="1">
                  <c:v>11285.86</c:v>
                </c:pt>
                <c:pt idx="2">
                  <c:v>28829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C-4D29-BB7D-F9A34EDD75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1390479"/>
        <c:axId val="1771390063"/>
      </c:barChart>
      <c:catAx>
        <c:axId val="177139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71390063"/>
        <c:crosses val="autoZero"/>
        <c:auto val="1"/>
        <c:lblAlgn val="ctr"/>
        <c:lblOffset val="100"/>
        <c:noMultiLvlLbl val="0"/>
      </c:catAx>
      <c:valAx>
        <c:axId val="177139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7139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73904183809437"/>
          <c:y val="2.455836586239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266962500004528E-2"/>
          <c:y val="0.12784783535867292"/>
          <c:w val="0.45851724664584564"/>
          <c:h val="0.84690429772240183"/>
        </c:manualLayout>
      </c:layout>
      <c:pieChart>
        <c:varyColors val="1"/>
        <c:ser>
          <c:idx val="0"/>
          <c:order val="0"/>
          <c:tx>
            <c:strRef>
              <c:f>'Tratamento de Dados 2025'!$D$2</c:f>
              <c:strCache>
                <c:ptCount val="1"/>
                <c:pt idx="0">
                  <c:v>Percentual de custo total por tipo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FDC-4210-9C1A-900D3B9E479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FDC-4210-9C1A-900D3B9E479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FDC-4210-9C1A-900D3B9E479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FDC-4210-9C1A-900D3B9E479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FDC-4210-9C1A-900D3B9E4793}"/>
              </c:ext>
            </c:extLst>
          </c:dPt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'Tratamento de Dados 2025'!$B$3:$B$7</c:f>
              <c:strCache>
                <c:ptCount val="5"/>
                <c:pt idx="0">
                  <c:v>Corretiva não programada</c:v>
                </c:pt>
                <c:pt idx="1">
                  <c:v>Corretiva programada</c:v>
                </c:pt>
                <c:pt idx="2">
                  <c:v>Preventiva</c:v>
                </c:pt>
                <c:pt idx="3">
                  <c:v>Preditiva</c:v>
                </c:pt>
                <c:pt idx="4">
                  <c:v>Melhoria</c:v>
                </c:pt>
              </c:strCache>
            </c:strRef>
          </c:cat>
          <c:val>
            <c:numRef>
              <c:f>'Tratamento de Dados 2025'!$D$3:$D$7</c:f>
              <c:numCache>
                <c:formatCode>0%</c:formatCode>
                <c:ptCount val="5"/>
                <c:pt idx="0">
                  <c:v>0.17497144833892367</c:v>
                </c:pt>
                <c:pt idx="1">
                  <c:v>0.23211240747318262</c:v>
                </c:pt>
                <c:pt idx="2">
                  <c:v>0.59291614418789373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DC-4210-9C1A-900D3B9E47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19044428329036"/>
          <c:y val="0.17691364183535935"/>
          <c:w val="0.39075449472829193"/>
          <c:h val="0.77749284952560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8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Custo de Manutenção Industrial</a:t>
            </a:r>
            <a:br>
              <a:rPr lang="pt-BR" sz="18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BR" sz="18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Meta: Até 0,5% do Faturamento Bruto Mensal</a:t>
            </a:r>
            <a:endParaRPr lang="pt-BR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'Tratamento de Dados 2025'!$D$11</c:f>
              <c:strCache>
                <c:ptCount val="1"/>
                <c:pt idx="0">
                  <c:v>Corretiva não programada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8.5974895059857026E-4"/>
                  <c:y val="7.4074074074074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D49-47C8-892F-C29C1FB63501}"/>
                </c:ext>
              </c:extLst>
            </c:dLbl>
            <c:dLbl>
              <c:idx val="3"/>
              <c:layout>
                <c:manualLayout>
                  <c:x val="0"/>
                  <c:y val="4.778972520908004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49-47C8-892F-C29C1FB63501}"/>
                </c:ext>
              </c:extLst>
            </c:dLbl>
            <c:dLbl>
              <c:idx val="8"/>
              <c:layout>
                <c:manualLayout>
                  <c:x val="-8.5974895059855454E-4"/>
                  <c:y val="-9.55794504181600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D49-47C8-892F-C29C1FB63501}"/>
                </c:ext>
              </c:extLst>
            </c:dLbl>
            <c:dLbl>
              <c:idx val="11"/>
              <c:layout>
                <c:manualLayout>
                  <c:x val="-8.5974895059855454E-4"/>
                  <c:y val="-5.49581839904421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D49-47C8-892F-C29C1FB63501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'Tratamento de Dados 2025'!$C$12:$C$23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2025'!$D$12:$D$23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1033</c:v>
                </c:pt>
                <c:pt idx="2">
                  <c:v>1533.23</c:v>
                </c:pt>
                <c:pt idx="3">
                  <c:v>0</c:v>
                </c:pt>
                <c:pt idx="4">
                  <c:v>2820.65</c:v>
                </c:pt>
                <c:pt idx="5">
                  <c:v>503.03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0</c:v>
                </c:pt>
                <c:pt idx="10">
                  <c:v>500</c:v>
                </c:pt>
                <c:pt idx="11">
                  <c:v>1817.62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F-40FA-9C18-7C34EBED49E6}"/>
            </c:ext>
          </c:extLst>
        </c:ser>
        <c:ser>
          <c:idx val="1"/>
          <c:order val="1"/>
          <c:tx>
            <c:strRef>
              <c:f>'Tratamento de Dados 2025'!$E$11</c:f>
              <c:strCache>
                <c:ptCount val="1"/>
                <c:pt idx="0">
                  <c:v>Corretiva programada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8.5974895059855454E-4"/>
                  <c:y val="-1.1947431302270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D49-47C8-892F-C29C1FB63501}"/>
                </c:ext>
              </c:extLst>
            </c:dLbl>
            <c:dLbl>
              <c:idx val="1"/>
              <c:layout>
                <c:manualLayout>
                  <c:x val="-3.1523764023401637E-17"/>
                  <c:y val="-3.5842293906810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49-47C8-892F-C29C1FB63501}"/>
                </c:ext>
              </c:extLst>
            </c:dLbl>
            <c:dLbl>
              <c:idx val="2"/>
              <c:layout>
                <c:manualLayout>
                  <c:x val="-3.4389958023942182E-3"/>
                  <c:y val="-2.38948626045400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49-47C8-892F-C29C1FB63501}"/>
                </c:ext>
              </c:extLst>
            </c:dLbl>
            <c:dLbl>
              <c:idx val="8"/>
              <c:layout>
                <c:manualLayout>
                  <c:x val="0"/>
                  <c:y val="-1.672640382317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49-47C8-892F-C29C1FB63501}"/>
                </c:ext>
              </c:extLst>
            </c:dLbl>
            <c:dLbl>
              <c:idx val="10"/>
              <c:layout>
                <c:manualLayout>
                  <c:x val="-1.7194979011971091E-3"/>
                  <c:y val="-2.62843488649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D49-47C8-892F-C29C1FB63501}"/>
                </c:ext>
              </c:extLst>
            </c:dLbl>
            <c:dLbl>
              <c:idx val="11"/>
              <c:layout>
                <c:manualLayout>
                  <c:x val="0"/>
                  <c:y val="-2.8642524752103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C6-4394-86EE-352DAAD01C7F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2025'!$C$12:$C$23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2025'!$E$12:$E$23</c:f>
              <c:numCache>
                <c:formatCode>_("R$"* #,##0.00_);_("R$"* \(#,##0.00\);_("R$"* "-"??_);_(@_)</c:formatCode>
                <c:ptCount val="12"/>
                <c:pt idx="0">
                  <c:v>350</c:v>
                </c:pt>
                <c:pt idx="1">
                  <c:v>0</c:v>
                </c:pt>
                <c:pt idx="2">
                  <c:v>500</c:v>
                </c:pt>
                <c:pt idx="3">
                  <c:v>626.72</c:v>
                </c:pt>
                <c:pt idx="4">
                  <c:v>555</c:v>
                </c:pt>
                <c:pt idx="5">
                  <c:v>0</c:v>
                </c:pt>
                <c:pt idx="6">
                  <c:v>0</c:v>
                </c:pt>
                <c:pt idx="7">
                  <c:v>2372.14</c:v>
                </c:pt>
                <c:pt idx="8">
                  <c:v>976.67</c:v>
                </c:pt>
                <c:pt idx="9">
                  <c:v>2372.13</c:v>
                </c:pt>
                <c:pt idx="10">
                  <c:v>1775</c:v>
                </c:pt>
                <c:pt idx="11">
                  <c:v>1758.2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F-40FA-9C18-7C34EBED49E6}"/>
            </c:ext>
          </c:extLst>
        </c:ser>
        <c:ser>
          <c:idx val="2"/>
          <c:order val="2"/>
          <c:tx>
            <c:strRef>
              <c:f>'Tratamento de Dados 2025'!$F$11</c:f>
              <c:strCache>
                <c:ptCount val="1"/>
                <c:pt idx="0">
                  <c:v>Preventiva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2"/>
              <c:layout>
                <c:manualLayout>
                  <c:x val="-2.5792468517956951E-3"/>
                  <c:y val="-7.16845878136200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D49-47C8-892F-C29C1FB63501}"/>
                </c:ext>
              </c:extLst>
            </c:dLbl>
            <c:dLbl>
              <c:idx val="4"/>
              <c:layout>
                <c:manualLayout>
                  <c:x val="-6.3047528046803273E-17"/>
                  <c:y val="-5.7347670250896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49-47C8-892F-C29C1FB63501}"/>
                </c:ext>
              </c:extLst>
            </c:dLbl>
            <c:dLbl>
              <c:idx val="7"/>
              <c:layout>
                <c:manualLayout>
                  <c:x val="-8.5974895059855454E-4"/>
                  <c:y val="1.1947431302270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49-47C8-892F-C29C1FB63501}"/>
                </c:ext>
              </c:extLst>
            </c:dLbl>
            <c:dLbl>
              <c:idx val="8"/>
              <c:layout>
                <c:manualLayout>
                  <c:x val="-8.5974895059855454E-4"/>
                  <c:y val="-4.77897252090800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49-47C8-892F-C29C1FB63501}"/>
                </c:ext>
              </c:extLst>
            </c:dLbl>
            <c:dLbl>
              <c:idx val="9"/>
              <c:layout>
                <c:manualLayout>
                  <c:x val="-8.5974895059868063E-4"/>
                  <c:y val="-1.672640382317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49-47C8-892F-C29C1FB63501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2025'!$C$12:$C$23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2025'!$F$12:$F$23</c:f>
              <c:numCache>
                <c:formatCode>_("R$"* #,##0.00_);_("R$"* \(#,##0.00\);_("R$"* "-"??_);_(@_)</c:formatCode>
                <c:ptCount val="12"/>
                <c:pt idx="0">
                  <c:v>3850</c:v>
                </c:pt>
                <c:pt idx="1">
                  <c:v>3167</c:v>
                </c:pt>
                <c:pt idx="2">
                  <c:v>2700</c:v>
                </c:pt>
                <c:pt idx="3">
                  <c:v>2775</c:v>
                </c:pt>
                <c:pt idx="4">
                  <c:v>3687</c:v>
                </c:pt>
                <c:pt idx="5">
                  <c:v>4200</c:v>
                </c:pt>
                <c:pt idx="6">
                  <c:v>4200</c:v>
                </c:pt>
                <c:pt idx="7">
                  <c:v>2100</c:v>
                </c:pt>
                <c:pt idx="8">
                  <c:v>1200</c:v>
                </c:pt>
                <c:pt idx="9">
                  <c:v>950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F-40FA-9C18-7C34EBED49E6}"/>
            </c:ext>
          </c:extLst>
        </c:ser>
        <c:ser>
          <c:idx val="3"/>
          <c:order val="3"/>
          <c:tx>
            <c:strRef>
              <c:f>'Tratamento de Dados 2025'!$G$11</c:f>
              <c:strCache>
                <c:ptCount val="1"/>
                <c:pt idx="0">
                  <c:v>Preditiva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2025'!$C$12:$C$23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2025'!$G$12:$G$23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F-40FA-9C18-7C34EBED49E6}"/>
            </c:ext>
          </c:extLst>
        </c:ser>
        <c:ser>
          <c:idx val="4"/>
          <c:order val="4"/>
          <c:tx>
            <c:strRef>
              <c:f>'Tratamento de Dados 2025'!$H$11</c:f>
              <c:strCache>
                <c:ptCount val="1"/>
                <c:pt idx="0">
                  <c:v>Melhoria de Máquinas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2025'!$C$12:$C$23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2025'!$H$12:$H$23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2F-40FA-9C18-7C34EBED49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4227104"/>
        <c:axId val="1814231680"/>
      </c:barChart>
      <c:lineChart>
        <c:grouping val="standard"/>
        <c:varyColors val="0"/>
        <c:ser>
          <c:idx val="5"/>
          <c:order val="5"/>
          <c:tx>
            <c:strRef>
              <c:f>'Tratamento de Dados 2025'!$I$11</c:f>
              <c:strCache>
                <c:ptCount val="1"/>
                <c:pt idx="0">
                  <c:v>0,5% do Faturamento Bruto Mensal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  <a:alpha val="93000"/>
                </a:schemeClr>
              </a:solidFill>
              <a:round/>
              <a:headEnd type="none"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7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3.5249706974540732E-2"/>
                  <c:y val="2.6284348864994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2F-40FA-9C18-7C34EBED49E6}"/>
                </c:ext>
              </c:extLst>
            </c:dLbl>
            <c:dLbl>
              <c:idx val="1"/>
              <c:layout>
                <c:manualLayout>
                  <c:x val="-3.8688702776934952E-2"/>
                  <c:y val="-3.106332138590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2F-40FA-9C18-7C34EBED49E6}"/>
                </c:ext>
              </c:extLst>
            </c:dLbl>
            <c:dLbl>
              <c:idx val="2"/>
              <c:layout>
                <c:manualLayout>
                  <c:x val="-2.4932719567358111E-2"/>
                  <c:y val="-8.1242532855436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2F-40FA-9C18-7C34EBED49E6}"/>
                </c:ext>
              </c:extLst>
            </c:dLbl>
            <c:dLbl>
              <c:idx val="3"/>
              <c:layout>
                <c:manualLayout>
                  <c:x val="-5.158493703591327E-2"/>
                  <c:y val="-9.3189964157706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2F-40FA-9C18-7C34EBED49E6}"/>
                </c:ext>
              </c:extLst>
            </c:dLbl>
            <c:dLbl>
              <c:idx val="4"/>
              <c:layout>
                <c:manualLayout>
                  <c:x val="-2.7511966419153808E-2"/>
                  <c:y val="-4.3010752688172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2F-40FA-9C18-7C34EBED49E6}"/>
                </c:ext>
              </c:extLst>
            </c:dLbl>
            <c:dLbl>
              <c:idx val="5"/>
              <c:layout>
                <c:manualLayout>
                  <c:x val="-2.0633974814365307E-2"/>
                  <c:y val="-7.885304659498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2F-40FA-9C18-7C34EBED49E6}"/>
                </c:ext>
              </c:extLst>
            </c:dLbl>
            <c:dLbl>
              <c:idx val="6"/>
              <c:layout>
                <c:manualLayout>
                  <c:x val="-3.3530209073343753E-2"/>
                  <c:y val="-6.4516129032258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2F-40FA-9C18-7C34EBED49E6}"/>
                </c:ext>
              </c:extLst>
            </c:dLbl>
            <c:dLbl>
              <c:idx val="7"/>
              <c:layout>
                <c:manualLayout>
                  <c:x val="-2.1493723764963862E-2"/>
                  <c:y val="-6.2126642771804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D2F-40FA-9C18-7C34EBED49E6}"/>
                </c:ext>
              </c:extLst>
            </c:dLbl>
            <c:dLbl>
              <c:idx val="8"/>
              <c:layout>
                <c:manualLayout>
                  <c:x val="-3.7828953826336401E-2"/>
                  <c:y val="-5.9737156511350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2F-40FA-9C18-7C34EBED49E6}"/>
                </c:ext>
              </c:extLst>
            </c:dLbl>
            <c:dLbl>
              <c:idx val="9"/>
              <c:layout>
                <c:manualLayout>
                  <c:x val="-4.4706945431124835E-2"/>
                  <c:y val="-5.7347670250896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2F-40FA-9C18-7C34EBED49E6}"/>
                </c:ext>
              </c:extLst>
            </c:dLbl>
            <c:dLbl>
              <c:idx val="10"/>
              <c:layout>
                <c:manualLayout>
                  <c:x val="-3.0950962221547963E-2"/>
                  <c:y val="-6.451612903225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2F-40FA-9C18-7C34EBED49E6}"/>
                </c:ext>
              </c:extLst>
            </c:dLbl>
            <c:dLbl>
              <c:idx val="11"/>
              <c:layout>
                <c:manualLayout>
                  <c:x val="-1.2513476734042425E-2"/>
                  <c:y val="-2.86738351254481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2F-40FA-9C18-7C34EBED4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2025'!$C$12:$C$23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2025'!$I$12:$I$23</c:f>
              <c:numCache>
                <c:formatCode>_("R$"* #,##0.00_);_("R$"* \(#,##0.00\);_("R$"* "-"??_);_(@_)</c:formatCode>
                <c:ptCount val="12"/>
                <c:pt idx="0">
                  <c:v>4006.6143500000003</c:v>
                </c:pt>
                <c:pt idx="1">
                  <c:v>6555.9286499999998</c:v>
                </c:pt>
                <c:pt idx="2">
                  <c:v>5151.7210999999998</c:v>
                </c:pt>
                <c:pt idx="3">
                  <c:v>3806.6327500000002</c:v>
                </c:pt>
                <c:pt idx="4">
                  <c:v>8028.5949499999997</c:v>
                </c:pt>
                <c:pt idx="5">
                  <c:v>6097.2139500000003</c:v>
                </c:pt>
                <c:pt idx="6">
                  <c:v>4434.5979500000003</c:v>
                </c:pt>
                <c:pt idx="7">
                  <c:v>4182.2286999999997</c:v>
                </c:pt>
                <c:pt idx="8">
                  <c:v>3179.3114500000001</c:v>
                </c:pt>
                <c:pt idx="9">
                  <c:v>3767.7999</c:v>
                </c:pt>
                <c:pt idx="10">
                  <c:v>2591.7373499999999</c:v>
                </c:pt>
                <c:pt idx="11">
                  <c:v>3883.2995500000002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2F-40FA-9C18-7C34EBED4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227104"/>
        <c:axId val="1814231680"/>
      </c:lineChart>
      <c:catAx>
        <c:axId val="18142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14231680"/>
        <c:crosses val="autoZero"/>
        <c:auto val="1"/>
        <c:lblAlgn val="ctr"/>
        <c:lblOffset val="100"/>
        <c:noMultiLvlLbl val="0"/>
      </c:catAx>
      <c:valAx>
        <c:axId val="181423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1422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172037801076839"/>
          <c:y val="0.1513280057736113"/>
          <c:w val="0.73655917760862022"/>
          <c:h val="4.203929513828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Custo Total por tipo de manutenção 2026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'Tratamento de Dados 2026'!$C$2</c:f>
              <c:strCache>
                <c:ptCount val="1"/>
                <c:pt idx="0">
                  <c:v>Custo Total por tipo de manutenção (R$)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&quot;R$&quot;\ #,##0.00;\-&quot;R$&quot;\ #,##0.00;&quot;&quot;" sourceLinked="0"/>
            <c:spPr>
              <a:noFill/>
              <a:ln w="12700"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 w="25400">
                      <a:noFill/>
                    </a:ln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2026'!$B$3:$B$7</c:f>
              <c:strCache>
                <c:ptCount val="5"/>
                <c:pt idx="0">
                  <c:v>Corretiva não programada</c:v>
                </c:pt>
                <c:pt idx="1">
                  <c:v>Corretiva programada</c:v>
                </c:pt>
                <c:pt idx="2">
                  <c:v>Preventiva</c:v>
                </c:pt>
                <c:pt idx="3">
                  <c:v>Preditiva</c:v>
                </c:pt>
                <c:pt idx="4">
                  <c:v>Melhoria</c:v>
                </c:pt>
              </c:strCache>
            </c:strRef>
          </c:cat>
          <c:val>
            <c:numRef>
              <c:f>'Tratamento de Dados 2026'!$C$3:$C$7</c:f>
              <c:numCache>
                <c:formatCode>_("R$"* #,##0.00_);_("R$"* \(#,##0.00\);_("R$"* "-"??_);_(@_)</c:formatCode>
                <c:ptCount val="5"/>
                <c:pt idx="0">
                  <c:v>21982.22</c:v>
                </c:pt>
                <c:pt idx="1">
                  <c:v>7563.33</c:v>
                </c:pt>
                <c:pt idx="2">
                  <c:v>0</c:v>
                </c:pt>
                <c:pt idx="3">
                  <c:v>0</c:v>
                </c:pt>
                <c:pt idx="4">
                  <c:v>1295.77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8-42B6-BC40-D2A613342A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1390479"/>
        <c:axId val="1771390063"/>
      </c:barChart>
      <c:catAx>
        <c:axId val="177139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71390063"/>
        <c:crosses val="autoZero"/>
        <c:auto val="1"/>
        <c:lblAlgn val="ctr"/>
        <c:lblOffset val="100"/>
        <c:noMultiLvlLbl val="0"/>
      </c:catAx>
      <c:valAx>
        <c:axId val="177139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7139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739046800950043"/>
          <c:y val="2.84709457537364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266962500004528E-2"/>
          <c:y val="0.13862426900584796"/>
          <c:w val="0.48626972014255737"/>
          <c:h val="0.78079035087719295"/>
        </c:manualLayout>
      </c:layout>
      <c:pieChart>
        <c:varyColors val="1"/>
        <c:ser>
          <c:idx val="0"/>
          <c:order val="0"/>
          <c:tx>
            <c:strRef>
              <c:f>'Tratamento de Dados 2026'!$D$2</c:f>
              <c:strCache>
                <c:ptCount val="1"/>
                <c:pt idx="0">
                  <c:v>Percentual de custo total por tipo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E9D-4ECF-AF36-05504BF365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E9D-4ECF-AF36-05504BF365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E9D-4ECF-AF36-05504BF365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E9D-4ECF-AF36-05504BF365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E9D-4ECF-AF36-05504BF365EB}"/>
              </c:ext>
            </c:extLst>
          </c:dPt>
          <c:dLbls>
            <c:dLbl>
              <c:idx val="4"/>
              <c:layout>
                <c:manualLayout>
                  <c:x val="7.2875729572205441E-3"/>
                  <c:y val="1.514444444444444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9D-4ECF-AF36-05504BF365EB}"/>
                </c:ext>
              </c:extLst>
            </c:dLbl>
            <c:numFmt formatCode="0.00%;\-0.0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'Tratamento de Dados 2026'!$B$3:$B$7</c:f>
              <c:strCache>
                <c:ptCount val="5"/>
                <c:pt idx="0">
                  <c:v>Corretiva não programada</c:v>
                </c:pt>
                <c:pt idx="1">
                  <c:v>Corretiva programada</c:v>
                </c:pt>
                <c:pt idx="2">
                  <c:v>Preventiva</c:v>
                </c:pt>
                <c:pt idx="3">
                  <c:v>Preditiva</c:v>
                </c:pt>
                <c:pt idx="4">
                  <c:v>Melhoria</c:v>
                </c:pt>
              </c:strCache>
            </c:strRef>
          </c:cat>
          <c:val>
            <c:numRef>
              <c:f>'Tratamento de Dados 2026'!$D$3:$D$7</c:f>
              <c:numCache>
                <c:formatCode>0%</c:formatCode>
                <c:ptCount val="5"/>
                <c:pt idx="0">
                  <c:v>0.71275224277041316</c:v>
                </c:pt>
                <c:pt idx="1">
                  <c:v>0.24523366704148847</c:v>
                </c:pt>
                <c:pt idx="2">
                  <c:v>0</c:v>
                </c:pt>
                <c:pt idx="3">
                  <c:v>0</c:v>
                </c:pt>
                <c:pt idx="4">
                  <c:v>4.2014090188098298E-2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9D-4ECF-AF36-05504BF365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19044428329036"/>
          <c:y val="0.17691364183535935"/>
          <c:w val="0.39075449472829193"/>
          <c:h val="0.77749284952560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8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Custo de Manutenção Industrial</a:t>
            </a:r>
            <a:br>
              <a:rPr lang="pt-BR" sz="18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BR" sz="18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Meta: Até 0,5% do Faturamento Bruto Mensal</a:t>
            </a:r>
            <a:endParaRPr lang="pt-BR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834091198648442E-2"/>
          <c:y val="0.20313662405102589"/>
          <c:w val="0.92298917244357037"/>
          <c:h val="0.738161412619121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'Tratamento de Dados 2026'!$D$11</c:f>
              <c:strCache>
                <c:ptCount val="1"/>
                <c:pt idx="0">
                  <c:v>Corretiva não programada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8.5974895059855454E-4"/>
                  <c:y val="-5.25686977299880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A2-4EBA-BA61-225F9CCECC47}"/>
                </c:ext>
              </c:extLst>
            </c:dLbl>
            <c:dLbl>
              <c:idx val="2"/>
              <c:layout>
                <c:manualLayout>
                  <c:x val="-3.4389958023942182E-3"/>
                  <c:y val="-0.270011947431302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B7-4219-9DE6-B18022BB97A7}"/>
                </c:ext>
              </c:extLst>
            </c:dLbl>
            <c:dLbl>
              <c:idx val="3"/>
              <c:layout>
                <c:manualLayout>
                  <c:x val="0"/>
                  <c:y val="4.778972520908004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A2-4EBA-BA61-225F9CCECC47}"/>
                </c:ext>
              </c:extLst>
            </c:dLbl>
            <c:dLbl>
              <c:idx val="4"/>
              <c:layout>
                <c:manualLayout>
                  <c:x val="6.1691330155213338E-2"/>
                  <c:y val="-4.7789725209080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EF-4E06-884C-BF15173E6D8C}"/>
                </c:ext>
              </c:extLst>
            </c:dLbl>
            <c:dLbl>
              <c:idx val="8"/>
              <c:layout>
                <c:manualLayout>
                  <c:x val="-8.5974895059855454E-4"/>
                  <c:y val="-9.55794504181600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A2-4EBA-BA61-225F9CCECC47}"/>
                </c:ext>
              </c:extLst>
            </c:dLbl>
            <c:dLbl>
              <c:idx val="11"/>
              <c:layout>
                <c:manualLayout>
                  <c:x val="-8.5974895059855454E-4"/>
                  <c:y val="-5.49581839904421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A2-4EBA-BA61-225F9CCECC47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2026'!$C$12:$C$23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2026'!$D$12:$D$23</c:f>
              <c:numCache>
                <c:formatCode>_("R$"* #,##0.00_);_("R$"* \(#,##0.00\);_("R$"* "-"??_);_(@_)</c:formatCode>
                <c:ptCount val="12"/>
                <c:pt idx="0">
                  <c:v>2330</c:v>
                </c:pt>
                <c:pt idx="1">
                  <c:v>1800</c:v>
                </c:pt>
                <c:pt idx="2">
                  <c:v>10476.219999999999</c:v>
                </c:pt>
                <c:pt idx="3">
                  <c:v>0</c:v>
                </c:pt>
                <c:pt idx="4">
                  <c:v>7376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A2-4EBA-BA61-225F9CCECC47}"/>
            </c:ext>
          </c:extLst>
        </c:ser>
        <c:ser>
          <c:idx val="1"/>
          <c:order val="1"/>
          <c:tx>
            <c:strRef>
              <c:f>'Tratamento de Dados 2026'!$E$11</c:f>
              <c:strCache>
                <c:ptCount val="1"/>
                <c:pt idx="0">
                  <c:v>Corretiva programada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8.5974895059855454E-4"/>
                  <c:y val="2.38948626045391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A2-4EBA-BA61-225F9CCECC47}"/>
                </c:ext>
              </c:extLst>
            </c:dLbl>
            <c:dLbl>
              <c:idx val="1"/>
              <c:layout>
                <c:manualLayout>
                  <c:x val="-3.4389958023942182E-3"/>
                  <c:y val="-1.1947431302270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A2-4EBA-BA61-225F9CCECC47}"/>
                </c:ext>
              </c:extLst>
            </c:dLbl>
            <c:dLbl>
              <c:idx val="2"/>
              <c:layout>
                <c:manualLayout>
                  <c:x val="-2.5792468517956634E-3"/>
                  <c:y val="-3.5842293906810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A2-4EBA-BA61-225F9CCECC47}"/>
                </c:ext>
              </c:extLst>
            </c:dLbl>
            <c:dLbl>
              <c:idx val="3"/>
              <c:layout>
                <c:manualLayout>
                  <c:x val="-1.7194979011971091E-3"/>
                  <c:y val="-6.9295101553166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29-4A0E-B576-2B1EFFC980ED}"/>
                </c:ext>
              </c:extLst>
            </c:dLbl>
            <c:dLbl>
              <c:idx val="4"/>
              <c:layout>
                <c:manualLayout>
                  <c:x val="5.6550385975612162E-2"/>
                  <c:y val="-8.8410991636798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EF-4E06-884C-BF15173E6D8C}"/>
                </c:ext>
              </c:extLst>
            </c:dLbl>
            <c:dLbl>
              <c:idx val="8"/>
              <c:layout>
                <c:manualLayout>
                  <c:x val="0"/>
                  <c:y val="-1.672640382317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A2-4EBA-BA61-225F9CCECC47}"/>
                </c:ext>
              </c:extLst>
            </c:dLbl>
            <c:dLbl>
              <c:idx val="10"/>
              <c:layout>
                <c:manualLayout>
                  <c:x val="-1.7194979011971091E-3"/>
                  <c:y val="-2.62843488649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A2-4EBA-BA61-225F9CCECC47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2026'!$C$12:$C$23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2026'!$E$12:$E$23</c:f>
              <c:numCache>
                <c:formatCode>_("R$"* #,##0.00_);_("R$"* \(#,##0.00\);_("R$"* "-"??_);_(@_)</c:formatCode>
                <c:ptCount val="12"/>
                <c:pt idx="0">
                  <c:v>900</c:v>
                </c:pt>
                <c:pt idx="1">
                  <c:v>2445</c:v>
                </c:pt>
                <c:pt idx="2">
                  <c:v>460</c:v>
                </c:pt>
                <c:pt idx="3">
                  <c:v>3583.33</c:v>
                </c:pt>
                <c:pt idx="4">
                  <c:v>175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A2-4EBA-BA61-225F9CCECC47}"/>
            </c:ext>
          </c:extLst>
        </c:ser>
        <c:ser>
          <c:idx val="2"/>
          <c:order val="2"/>
          <c:tx>
            <c:strRef>
              <c:f>'Tratamento de Dados 2026'!$F$11</c:f>
              <c:strCache>
                <c:ptCount val="1"/>
                <c:pt idx="0">
                  <c:v>Preventiva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2"/>
              <c:layout>
                <c:manualLayout>
                  <c:x val="-2.5792468517956951E-3"/>
                  <c:y val="-7.16845878136200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A2-4EBA-BA61-225F9CCECC47}"/>
                </c:ext>
              </c:extLst>
            </c:dLbl>
            <c:dLbl>
              <c:idx val="4"/>
              <c:layout>
                <c:manualLayout>
                  <c:x val="-6.3047528046803273E-17"/>
                  <c:y val="-5.7347670250896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BA2-4EBA-BA61-225F9CCECC47}"/>
                </c:ext>
              </c:extLst>
            </c:dLbl>
            <c:dLbl>
              <c:idx val="7"/>
              <c:layout>
                <c:manualLayout>
                  <c:x val="-8.5974895059855454E-4"/>
                  <c:y val="1.1947431302270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BA2-4EBA-BA61-225F9CCECC47}"/>
                </c:ext>
              </c:extLst>
            </c:dLbl>
            <c:dLbl>
              <c:idx val="8"/>
              <c:layout>
                <c:manualLayout>
                  <c:x val="-8.5974895059855454E-4"/>
                  <c:y val="-4.77897252090800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BA2-4EBA-BA61-225F9CCECC47}"/>
                </c:ext>
              </c:extLst>
            </c:dLbl>
            <c:dLbl>
              <c:idx val="9"/>
              <c:layout>
                <c:manualLayout>
                  <c:x val="-8.5974895059868063E-4"/>
                  <c:y val="-1.672640382317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BA2-4EBA-BA61-225F9CCECC47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'Tratamento de Dados 2026'!$C$12:$C$23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2026'!$F$12:$F$23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BA2-4EBA-BA61-225F9CCECC47}"/>
            </c:ext>
          </c:extLst>
        </c:ser>
        <c:ser>
          <c:idx val="3"/>
          <c:order val="3"/>
          <c:tx>
            <c:strRef>
              <c:f>'Tratamento de Dados 2026'!$G$11</c:f>
              <c:strCache>
                <c:ptCount val="1"/>
                <c:pt idx="0">
                  <c:v>Preditiva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2026'!$C$12:$C$23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2026'!$G$12:$G$23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BA2-4EBA-BA61-225F9CCECC47}"/>
            </c:ext>
          </c:extLst>
        </c:ser>
        <c:ser>
          <c:idx val="4"/>
          <c:order val="4"/>
          <c:tx>
            <c:strRef>
              <c:f>'Tratamento de Dados 2026'!$H$11</c:f>
              <c:strCache>
                <c:ptCount val="1"/>
                <c:pt idx="0">
                  <c:v>Melhoria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1"/>
              <c:layout>
                <c:manualLayout>
                  <c:x val="3.4389958023942182E-3"/>
                  <c:y val="-5.2568697729988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CB-478D-BCC8-88356239B50E}"/>
                </c:ext>
              </c:extLst>
            </c:dLbl>
            <c:dLbl>
              <c:idx val="4"/>
              <c:layout>
                <c:manualLayout>
                  <c:x val="0"/>
                  <c:y val="-7.885304659498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2E-46F8-A113-C3B6AA10F308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2026'!$C$12:$C$23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2026'!$H$12:$H$23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600</c:v>
                </c:pt>
                <c:pt idx="2">
                  <c:v>0</c:v>
                </c:pt>
                <c:pt idx="3">
                  <c:v>0</c:v>
                </c:pt>
                <c:pt idx="4">
                  <c:v>695.77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BA2-4EBA-BA61-225F9CCECC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4227104"/>
        <c:axId val="1814231680"/>
      </c:barChart>
      <c:lineChart>
        <c:grouping val="standard"/>
        <c:varyColors val="0"/>
        <c:ser>
          <c:idx val="5"/>
          <c:order val="5"/>
          <c:tx>
            <c:strRef>
              <c:f>'Tratamento de Dados 2026'!$I$11</c:f>
              <c:strCache>
                <c:ptCount val="1"/>
                <c:pt idx="0">
                  <c:v>0,5% do Faturamento Bruto Mensal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  <a:alpha val="93000"/>
                </a:schemeClr>
              </a:solidFill>
              <a:round/>
              <a:headEnd type="none"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7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4.1267949628730614E-2"/>
                  <c:y val="-4.0621266427718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BA2-4EBA-BA61-225F9CCECC47}"/>
                </c:ext>
              </c:extLst>
            </c:dLbl>
            <c:dLbl>
              <c:idx val="1"/>
              <c:layout>
                <c:manualLayout>
                  <c:x val="-8.0816401356264125E-2"/>
                  <c:y val="-3.3452807646356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BA2-4EBA-BA61-225F9CCECC47}"/>
                </c:ext>
              </c:extLst>
            </c:dLbl>
            <c:dLbl>
              <c:idx val="2"/>
              <c:layout>
                <c:manualLayout>
                  <c:x val="-3.0950962221547994E-2"/>
                  <c:y val="4.778972520908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BA2-4EBA-BA61-225F9CCECC47}"/>
                </c:ext>
              </c:extLst>
            </c:dLbl>
            <c:dLbl>
              <c:idx val="3"/>
              <c:layout>
                <c:manualLayout>
                  <c:x val="-3.3530209073343628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BA2-4EBA-BA61-225F9CCECC47}"/>
                </c:ext>
              </c:extLst>
            </c:dLbl>
            <c:dLbl>
              <c:idx val="4"/>
              <c:layout>
                <c:manualLayout>
                  <c:x val="-2.7511966419153808E-2"/>
                  <c:y val="-4.3010752688172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BA2-4EBA-BA61-225F9CCECC47}"/>
                </c:ext>
              </c:extLst>
            </c:dLbl>
            <c:dLbl>
              <c:idx val="5"/>
              <c:layout>
                <c:manualLayout>
                  <c:x val="-2.0633974814365307E-2"/>
                  <c:y val="-7.885304659498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BA2-4EBA-BA61-225F9CCECC47}"/>
                </c:ext>
              </c:extLst>
            </c:dLbl>
            <c:dLbl>
              <c:idx val="6"/>
              <c:layout>
                <c:manualLayout>
                  <c:x val="-3.3530209073343753E-2"/>
                  <c:y val="-6.4516129032258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BA2-4EBA-BA61-225F9CCECC47}"/>
                </c:ext>
              </c:extLst>
            </c:dLbl>
            <c:dLbl>
              <c:idx val="7"/>
              <c:layout>
                <c:manualLayout>
                  <c:x val="-2.1493723764963862E-2"/>
                  <c:y val="-6.2126642771804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BA2-4EBA-BA61-225F9CCECC47}"/>
                </c:ext>
              </c:extLst>
            </c:dLbl>
            <c:dLbl>
              <c:idx val="8"/>
              <c:layout>
                <c:manualLayout>
                  <c:x val="-3.7828953826336401E-2"/>
                  <c:y val="-5.9737156511350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BA2-4EBA-BA61-225F9CCECC47}"/>
                </c:ext>
              </c:extLst>
            </c:dLbl>
            <c:dLbl>
              <c:idx val="9"/>
              <c:layout>
                <c:manualLayout>
                  <c:x val="-4.4706945431124835E-2"/>
                  <c:y val="-5.7347670250896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BA2-4EBA-BA61-225F9CCECC47}"/>
                </c:ext>
              </c:extLst>
            </c:dLbl>
            <c:dLbl>
              <c:idx val="10"/>
              <c:layout>
                <c:manualLayout>
                  <c:x val="-3.0950962221547963E-2"/>
                  <c:y val="-6.451612903225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BA2-4EBA-BA61-225F9CCECC47}"/>
                </c:ext>
              </c:extLst>
            </c:dLbl>
            <c:dLbl>
              <c:idx val="11"/>
              <c:layout>
                <c:manualLayout>
                  <c:x val="-1.2513476734042425E-2"/>
                  <c:y val="-2.8673835125448115E-2"/>
                </c:manualLayout>
              </c:layout>
              <c:numFmt formatCode="&quot;R$&quot;\ #,##0.00;\-&quot;R$&quot;\ #,##0.00;&quot;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BA2-4EBA-BA61-225F9CCECC47}"/>
                </c:ext>
              </c:extLst>
            </c:dLbl>
            <c:numFmt formatCode="&quot;R$&quot;\ #,##0.00;\-&quot;R$&quot;\ #,##0.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'Tratamento de Dados 2026'!$C$12:$C$23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'Tratamento de Dados 2026'!$I$12:$I$23</c:f>
              <c:numCache>
                <c:formatCode>_("R$"* #,##0.00_);_("R$"* \(#,##0.00\);_("R$"* "-"??_);_(@_)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4538.37835</c:v>
                </c:pt>
                <c:pt idx="4">
                  <c:v>4423.7815500000006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BA2-4EBA-BA61-225F9CCEC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227104"/>
        <c:axId val="1814231680"/>
      </c:lineChart>
      <c:catAx>
        <c:axId val="18142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14231680"/>
        <c:crosses val="autoZero"/>
        <c:auto val="1"/>
        <c:lblAlgn val="ctr"/>
        <c:lblOffset val="100"/>
        <c:noMultiLvlLbl val="0"/>
      </c:catAx>
      <c:valAx>
        <c:axId val="181423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1422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21715430679389"/>
          <c:y val="0.15149342891278375"/>
          <c:w val="0.7512851215908416"/>
          <c:h val="4.2085250096426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2700">
      <a:solidFill>
        <a:schemeClr val="tx1">
          <a:lumMod val="75000"/>
          <a:lumOff val="2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10</xdr:col>
      <xdr:colOff>654984</xdr:colOff>
      <xdr:row>47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39755</xdr:colOff>
      <xdr:row>0</xdr:row>
      <xdr:rowOff>20292</xdr:rowOff>
    </xdr:from>
    <xdr:to>
      <xdr:col>15</xdr:col>
      <xdr:colOff>204107</xdr:colOff>
      <xdr:row>15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244928</xdr:colOff>
      <xdr:row>0</xdr:row>
      <xdr:rowOff>22412</xdr:rowOff>
    </xdr:from>
    <xdr:to>
      <xdr:col>24</xdr:col>
      <xdr:colOff>553064</xdr:colOff>
      <xdr:row>15</xdr:row>
      <xdr:rowOff>89648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8805</xdr:colOff>
      <xdr:row>15</xdr:row>
      <xdr:rowOff>138266</xdr:rowOff>
    </xdr:from>
    <xdr:to>
      <xdr:col>24</xdr:col>
      <xdr:colOff>553065</xdr:colOff>
      <xdr:row>43</xdr:row>
      <xdr:rowOff>125026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39755</xdr:colOff>
      <xdr:row>0</xdr:row>
      <xdr:rowOff>20292</xdr:rowOff>
    </xdr:from>
    <xdr:to>
      <xdr:col>15</xdr:col>
      <xdr:colOff>174625</xdr:colOff>
      <xdr:row>18</xdr:row>
      <xdr:rowOff>11206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201706</xdr:colOff>
      <xdr:row>0</xdr:row>
      <xdr:rowOff>22412</xdr:rowOff>
    </xdr:from>
    <xdr:to>
      <xdr:col>24</xdr:col>
      <xdr:colOff>247050</xdr:colOff>
      <xdr:row>18</xdr:row>
      <xdr:rowOff>13412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32017</xdr:rowOff>
    </xdr:from>
    <xdr:to>
      <xdr:col>24</xdr:col>
      <xdr:colOff>248930</xdr:colOff>
      <xdr:row>46</xdr:row>
      <xdr:rowOff>12967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tencao" refreshedDate="46078.332756481483" createdVersion="6" refreshedVersion="6" minRefreshableVersion="3" recordCount="14" xr:uid="{00000000-000A-0000-FFFF-FFFF00000000}">
  <cacheSource type="worksheet">
    <worksheetSource ref="B11:I23" sheet="Tratamento de Dados 2025"/>
  </cacheSource>
  <cacheFields count="8"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Corretiva não programada" numFmtId="44">
      <sharedItems containsSemiMixedTypes="0" containsString="0" containsNumber="1" minValue="0" maxValue="8201.619999999999"/>
    </cacheField>
    <cacheField name="Corretiva programada" numFmtId="44">
      <sharedItems containsSemiMixedTypes="0" containsString="0" containsNumber="1" minValue="0" maxValue="4925"/>
    </cacheField>
    <cacheField name="Preventiva" numFmtId="44">
      <sharedItems containsSemiMixedTypes="0" containsString="0" containsNumber="1" containsInteger="1" minValue="0" maxValue="4200"/>
    </cacheField>
    <cacheField name="Preditiva" numFmtId="44">
      <sharedItems containsSemiMixedTypes="0" containsString="0" containsNumber="1" containsInteger="1" minValue="0" maxValue="0"/>
    </cacheField>
    <cacheField name="Melhoria de Máquinas" numFmtId="44">
      <sharedItems containsSemiMixedTypes="0" containsString="0" containsNumber="1" containsInteger="1" minValue="0" maxValue="0"/>
    </cacheField>
    <cacheField name="Limite de custos" numFmtId="44">
      <sharedItems containsSemiMixedTypes="0" containsString="0" containsNumber="1" containsInteger="1" minValue="50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n v="5992.48"/>
    <n v="2976.1000000000004"/>
    <n v="4200"/>
    <n v="0"/>
    <n v="0"/>
    <n v="5000"/>
  </r>
  <r>
    <x v="0"/>
    <x v="1"/>
    <n v="6150.51"/>
    <n v="2288.54"/>
    <n v="4200"/>
    <n v="0"/>
    <n v="0"/>
    <n v="5000"/>
  </r>
  <r>
    <x v="0"/>
    <x v="2"/>
    <n v="3431.61"/>
    <n v="1863.39"/>
    <n v="4200"/>
    <n v="0"/>
    <n v="0"/>
    <n v="5000"/>
  </r>
  <r>
    <x v="0"/>
    <x v="3"/>
    <n v="5788.41"/>
    <n v="690.45"/>
    <n v="4200"/>
    <n v="0"/>
    <n v="0"/>
    <n v="5000"/>
  </r>
  <r>
    <x v="0"/>
    <x v="4"/>
    <n v="7191.1100000000006"/>
    <n v="0"/>
    <n v="4200"/>
    <n v="0"/>
    <n v="0"/>
    <n v="5000"/>
  </r>
  <r>
    <x v="0"/>
    <x v="5"/>
    <n v="503.03"/>
    <n v="0"/>
    <n v="4200"/>
    <n v="0"/>
    <n v="0"/>
    <n v="5000"/>
  </r>
  <r>
    <x v="0"/>
    <x v="6"/>
    <n v="0"/>
    <n v="0"/>
    <n v="4200"/>
    <n v="0"/>
    <n v="0"/>
    <n v="5000"/>
  </r>
  <r>
    <x v="0"/>
    <x v="7"/>
    <n v="0"/>
    <n v="2372.14"/>
    <n v="4200"/>
    <n v="0"/>
    <n v="0"/>
    <n v="5000"/>
  </r>
  <r>
    <x v="0"/>
    <x v="8"/>
    <n v="1276.67"/>
    <n v="2372.13"/>
    <n v="4200"/>
    <n v="0"/>
    <n v="0"/>
    <n v="5000"/>
  </r>
  <r>
    <x v="0"/>
    <x v="9"/>
    <n v="976.67"/>
    <n v="2372.13"/>
    <n v="4200"/>
    <n v="0"/>
    <n v="0"/>
    <n v="5000"/>
  </r>
  <r>
    <x v="0"/>
    <x v="10"/>
    <n v="500"/>
    <n v="4007.3999999999996"/>
    <n v="1775"/>
    <n v="0"/>
    <n v="0"/>
    <n v="5000"/>
  </r>
  <r>
    <x v="0"/>
    <x v="11"/>
    <n v="8201.619999999999"/>
    <n v="2708.2"/>
    <n v="0"/>
    <n v="0"/>
    <n v="0"/>
    <n v="5000"/>
  </r>
  <r>
    <x v="1"/>
    <x v="0"/>
    <n v="6558.2"/>
    <n v="2758"/>
    <n v="0"/>
    <n v="0"/>
    <n v="0"/>
    <n v="5000"/>
  </r>
  <r>
    <x v="1"/>
    <x v="1"/>
    <n v="1800"/>
    <n v="4925"/>
    <n v="0"/>
    <n v="0"/>
    <n v="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1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A3:F20" firstHeaderRow="0" firstDataRow="1" firstDataCol="1"/>
  <pivotFields count="8"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numFmtId="44" showAll="0" defaultSubtotal="0"/>
    <pivotField dataField="1" numFmtId="44" showAll="0" defaultSubtotal="0"/>
  </pivotFields>
  <rowFields count="2">
    <field x="0"/>
    <field x="1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rretiva não programada Total" fld="2" baseField="0" baseItem="0"/>
    <dataField name="Corretiva programada Total" fld="3" baseField="0" baseItem="0"/>
    <dataField name="Manutenção Preventiva Total" fld="4" baseField="0" baseItem="0"/>
    <dataField name="Manutenção Preditiva Total" fld="5" baseField="0" baseItem="0"/>
    <dataField name="Soma de Limite de custos" fld="7" baseField="0" baseItem="0"/>
  </dataFields>
  <chartFormats count="1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56" totalsRowShown="0" headerRowDxfId="40" dataDxfId="39">
  <autoFilter ref="A1:L56" xr:uid="{00000000-0009-0000-0100-000001000000}">
    <filterColumn colId="3">
      <filters>
        <filter val="1900"/>
        <filter val="2026"/>
      </filters>
    </filterColumn>
  </autoFilter>
  <sortState xmlns:xlrd2="http://schemas.microsoft.com/office/spreadsheetml/2017/richdata2" ref="A13:L56">
    <sortCondition ref="A1:A56"/>
  </sortState>
  <tableColumns count="12">
    <tableColumn id="1" xr3:uid="{00000000-0010-0000-0000-000001000000}" name="OS" dataDxfId="38"/>
    <tableColumn id="2" xr3:uid="{00000000-0010-0000-0000-000002000000}" name="Data de Abertura" dataDxfId="37"/>
    <tableColumn id="12" xr3:uid="{00000000-0010-0000-0000-00000C000000}" name="Data de Fechamento" dataDxfId="36"/>
    <tableColumn id="10" xr3:uid="{00000000-0010-0000-0000-00000A000000}" name="Ano" dataDxfId="35">
      <calculatedColumnFormula>YEAR(Tabela1[[#This Row],[Data de Fechamento]])</calculatedColumnFormula>
    </tableColumn>
    <tableColumn id="13" xr3:uid="{00000000-0010-0000-0000-00000D000000}" name="Mês Fechamento" dataDxfId="34">
      <calculatedColumnFormula>PROPER(TEXT(Tabela1[[#This Row],[Data de Fechamento]],"mmmm"))</calculatedColumnFormula>
    </tableColumn>
    <tableColumn id="3" xr3:uid="{00000000-0010-0000-0000-000003000000}" name="Equipamento" dataDxfId="33"/>
    <tableColumn id="4" xr3:uid="{00000000-0010-0000-0000-000004000000}" name="Tag - Identificação" dataDxfId="32"/>
    <tableColumn id="5" xr3:uid="{00000000-0010-0000-0000-000005000000}" name="Tipo_Manutencao" dataDxfId="31"/>
    <tableColumn id="6" xr3:uid="{00000000-0010-0000-0000-000006000000}" name="Custo_MO" dataDxfId="30" dataCellStyle="Moeda"/>
    <tableColumn id="7" xr3:uid="{00000000-0010-0000-0000-000007000000}" name="Custo_Materiais" dataDxfId="29" dataCellStyle="Moeda"/>
    <tableColumn id="8" xr3:uid="{00000000-0010-0000-0000-000008000000}" name="Tempo_Parada_h" dataDxfId="28">
      <calculatedColumnFormula>(Tabela1[[#This Row],[Data de Fechamento]]-Tabela1[[#This Row],[Data de Abertura]])*24</calculatedColumnFormula>
    </tableColumn>
    <tableColumn id="9" xr3:uid="{00000000-0010-0000-0000-000009000000}" name="Custo_Total" dataDxfId="27" dataCellStyle="Moeda">
      <calculatedColumnFormula>I2+J2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11:J23" totalsRowShown="0" headerRowDxfId="26" dataDxfId="25" dataCellStyle="Moeda">
  <autoFilter ref="A11:J23" xr:uid="{00000000-0009-0000-0100-000004000000}"/>
  <tableColumns count="10">
    <tableColumn id="10" xr3:uid="{00000000-0010-0000-0100-00000A000000}" name="Faturemento Mensal" dataDxfId="24" dataCellStyle="Moeda"/>
    <tableColumn id="1" xr3:uid="{00000000-0010-0000-0100-000001000000}" name="Ano" dataDxfId="23"/>
    <tableColumn id="2" xr3:uid="{00000000-0010-0000-0100-000002000000}" name="Mês" dataDxfId="22"/>
    <tableColumn id="3" xr3:uid="{00000000-0010-0000-0100-000003000000}" name="Corretiva não programada" dataDxfId="21" dataCellStyle="Moeda">
      <calculatedColumnFormula>SUMIFS(Tabela1[[Custo_Total]:[Custo_Total]],Tabela1[[Tipo_Manutencao]:[Tipo_Manutencao]],'Tratamento de Dados 2025'!D$11,Tabela1[[Mês Fechamento]:[Mês Fechamento]],'Tratamento de Dados 2025'!$C12,Tabela1[[Ano]:[Ano]],'Tratamento de Dados 2025'!$B12)</calculatedColumnFormula>
    </tableColumn>
    <tableColumn id="4" xr3:uid="{00000000-0010-0000-0100-000004000000}" name="Corretiva programada" dataDxfId="20" dataCellStyle="Moeda">
      <calculatedColumnFormula>SUMIFS(Tabela1[[Custo_Total]:[Custo_Total]],Tabela1[[Tipo_Manutencao]:[Tipo_Manutencao]],'Tratamento de Dados 2025'!E$11,Tabela1[[Mês Fechamento]:[Mês Fechamento]],'Tratamento de Dados 2025'!$C12,Tabela1[[Ano]:[Ano]],'Tratamento de Dados 2025'!$B12)</calculatedColumnFormula>
    </tableColumn>
    <tableColumn id="5" xr3:uid="{00000000-0010-0000-0100-000005000000}" name="Preventiva" dataDxfId="19" dataCellStyle="Moeda">
      <calculatedColumnFormula>SUMIFS(Tabela1[[Custo_Total]:[Custo_Total]],Tabela1[[Tipo_Manutencao]:[Tipo_Manutencao]],'Tratamento de Dados 2025'!F$11,Tabela1[[Mês Fechamento]:[Mês Fechamento]],'Tratamento de Dados 2025'!$C12,Tabela1[[Ano]:[Ano]],'Tratamento de Dados 2025'!$B12)</calculatedColumnFormula>
    </tableColumn>
    <tableColumn id="6" xr3:uid="{00000000-0010-0000-0100-000006000000}" name="Preditiva" dataDxfId="18" dataCellStyle="Moeda">
      <calculatedColumnFormula>SUMIFS(Tabela1[[Custo_Total]:[Custo_Total]],Tabela1[[Tipo_Manutencao]:[Tipo_Manutencao]],'Tratamento de Dados 2025'!G$11,Tabela1[[Mês Fechamento]:[Mês Fechamento]],'Tratamento de Dados 2025'!$C12,Tabela1[[Ano]:[Ano]],'Tratamento de Dados 2025'!$B12)</calculatedColumnFormula>
    </tableColumn>
    <tableColumn id="7" xr3:uid="{00000000-0010-0000-0100-000007000000}" name="Melhoria de Máquinas" dataDxfId="17" dataCellStyle="Moeda">
      <calculatedColumnFormula>SUMIFS(Tabela1[[Custo_Total]:[Custo_Total]],Tabela1[[Tipo_Manutencao]:[Tipo_Manutencao]],'Tratamento de Dados 2025'!H$11,Tabela1[[Mês Fechamento]:[Mês Fechamento]],'Tratamento de Dados 2025'!$C12,Tabela1[[Ano]:[Ano]],'Tratamento de Dados 2025'!$B12)</calculatedColumnFormula>
    </tableColumn>
    <tableColumn id="8" xr3:uid="{00000000-0010-0000-0100-000008000000}" name="0,5% do Faturamento Bruto Mensal" dataDxfId="16" dataCellStyle="Moeda">
      <calculatedColumnFormula>Tabela4[[#This Row],[Faturemento Mensal]]*$G$1</calculatedColumnFormula>
    </tableColumn>
    <tableColumn id="9" xr3:uid="{00000000-0010-0000-0100-000009000000}" name="total" dataDxfId="15" dataCellStyle="Moeda">
      <calculatedColumnFormula>SUM(Tabela4[[#This Row],[Corretiva não programada]:[Melhoria de Máquinas]])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5" displayName="Tabela5" ref="B2:D7" totalsRowShown="0">
  <autoFilter ref="B2:D7" xr:uid="{00000000-0009-0000-0100-000005000000}"/>
  <tableColumns count="3">
    <tableColumn id="1" xr3:uid="{00000000-0010-0000-0200-000001000000}" name="Tipo de manutenção"/>
    <tableColumn id="2" xr3:uid="{00000000-0010-0000-0200-000002000000}" name="Custo Total por tipo de manutenção (R$)" dataDxfId="14" dataCellStyle="Moeda">
      <calculatedColumnFormula>SUMIFS(Dados_OS!L:L,Dados_OS!H:H,Tabela5[[#This Row],[Tipo de manutenção]],Dados_OS!D:D,'Tratamento de Dados 2025'!$D$1)</calculatedColumnFormula>
    </tableColumn>
    <tableColumn id="3" xr3:uid="{00000000-0010-0000-0200-000003000000}" name="Percentual de custo total por tipo" dataDxfId="13" dataCellStyle="Porcentagem">
      <calculatedColumnFormula>Tabela5[[#This Row],[Custo Total por tipo de manutenção (R$)]]/SUM(Tabela5[Custo Total por tipo de manutenção (R$)])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43" displayName="Tabela43" ref="A11:J23" totalsRowShown="0" headerRowDxfId="12" dataDxfId="11" dataCellStyle="Moeda">
  <autoFilter ref="A11:J23" xr:uid="{00000000-0009-0000-0100-000002000000}"/>
  <tableColumns count="10">
    <tableColumn id="11" xr3:uid="{00000000-0010-0000-0300-00000B000000}" name="Faturamento Mensal" dataDxfId="10" dataCellStyle="Moeda"/>
    <tableColumn id="1" xr3:uid="{00000000-0010-0000-0300-000001000000}" name="Ano" dataDxfId="9"/>
    <tableColumn id="2" xr3:uid="{00000000-0010-0000-0300-000002000000}" name="Mês"/>
    <tableColumn id="3" xr3:uid="{00000000-0010-0000-0300-000003000000}" name="Corretiva não programada" dataDxfId="8" dataCellStyle="Moeda">
      <calculatedColumnFormula>SUMIFS(Tabela1[[Custo_Total]:[Custo_Total]],Tabela1[[Tipo_Manutencao]:[Tipo_Manutencao]],'Tratamento de Dados 2026'!D$11,Tabela1[[Mês Fechamento]:[Mês Fechamento]],'Tratamento de Dados 2026'!$C12,Tabela1[[Ano]:[Ano]],'Tratamento de Dados 2026'!$B12)</calculatedColumnFormula>
    </tableColumn>
    <tableColumn id="4" xr3:uid="{00000000-0010-0000-0300-000004000000}" name="Corretiva programada" dataDxfId="7" dataCellStyle="Moeda">
      <calculatedColumnFormula>SUMIFS(Tabela1[[Custo_Total]:[Custo_Total]],Tabela1[[Tipo_Manutencao]:[Tipo_Manutencao]],'Tratamento de Dados 2026'!E$11,Tabela1[[Mês Fechamento]:[Mês Fechamento]],'Tratamento de Dados 2026'!$C12,Tabela1[[Ano]:[Ano]],'Tratamento de Dados 2026'!$B12)</calculatedColumnFormula>
    </tableColumn>
    <tableColumn id="5" xr3:uid="{00000000-0010-0000-0300-000005000000}" name="Preventiva" dataDxfId="6" dataCellStyle="Moeda">
      <calculatedColumnFormula>SUMIFS(Tabela1[[Custo_Total]:[Custo_Total]],Tabela1[[Tipo_Manutencao]:[Tipo_Manutencao]],'Tratamento de Dados 2026'!F$11,Tabela1[[Mês Fechamento]:[Mês Fechamento]],'Tratamento de Dados 2026'!$C12,Tabela1[[Ano]:[Ano]],'Tratamento de Dados 2026'!$B12)</calculatedColumnFormula>
    </tableColumn>
    <tableColumn id="6" xr3:uid="{00000000-0010-0000-0300-000006000000}" name="Preditiva" dataDxfId="5" dataCellStyle="Moeda">
      <calculatedColumnFormula>SUMIFS(Tabela1[[Custo_Total]:[Custo_Total]],Tabela1[[Tipo_Manutencao]:[Tipo_Manutencao]],'Tratamento de Dados 2026'!G$11,Tabela1[[Mês Fechamento]:[Mês Fechamento]],'Tratamento de Dados 2026'!$C12,Tabela1[[Ano]:[Ano]],'Tratamento de Dados 2026'!$B12)</calculatedColumnFormula>
    </tableColumn>
    <tableColumn id="7" xr3:uid="{00000000-0010-0000-0300-000007000000}" name="Melhoria" dataDxfId="4" dataCellStyle="Moeda">
      <calculatedColumnFormula>SUMIFS(Tabela1[[Custo_Total]:[Custo_Total]],Tabela1[[Tipo_Manutencao]:[Tipo_Manutencao]],'Tratamento de Dados 2026'!H$11,Tabela1[[Mês Fechamento]:[Mês Fechamento]],'Tratamento de Dados 2026'!$C12,Tabela1[[Ano]:[Ano]],'Tratamento de Dados 2026'!$B12)</calculatedColumnFormula>
    </tableColumn>
    <tableColumn id="8" xr3:uid="{00000000-0010-0000-0300-000008000000}" name="0,5% do Faturamento Bruto Mensal" dataDxfId="3" dataCellStyle="Moeda">
      <calculatedColumnFormula>A12*$G$1</calculatedColumnFormula>
    </tableColumn>
    <tableColumn id="9" xr3:uid="{00000000-0010-0000-0300-000009000000}" name="Total Geral" dataDxfId="2" dataCellStyle="Moeda">
      <calculatedColumnFormula>SUM(Tabela43[[#This Row],[Corretiva não programada]:[Melhoria]])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ela54" displayName="Tabela54" ref="B2:D7" totalsRowShown="0">
  <autoFilter ref="B2:D7" xr:uid="{00000000-0009-0000-0100-000003000000}"/>
  <tableColumns count="3">
    <tableColumn id="1" xr3:uid="{00000000-0010-0000-0400-000001000000}" name="Tipo de manutenção"/>
    <tableColumn id="2" xr3:uid="{00000000-0010-0000-0400-000002000000}" name="Custo Total por tipo de manutenção (R$)" dataDxfId="1" dataCellStyle="Moeda">
      <calculatedColumnFormula>SUMIFS(Dados_OS!L:L,Dados_OS!H:H,Tabela54[[#This Row],[Tipo de manutenção]],Dados_OS!D:D,'Tratamento de Dados 2026'!$D$1)</calculatedColumnFormula>
    </tableColumn>
    <tableColumn id="3" xr3:uid="{00000000-0010-0000-0400-000003000000}" name="Percentual de custo total por tipo" dataDxfId="0" dataCellStyle="Porcentagem">
      <calculatedColumnFormula>Tabela54[[#This Row],[Custo Total por tipo de manutenção (R$)]]/SUM(Tabela54[Custo Total por tipo de manutenção (R$)])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opLeftCell="G1" zoomScale="85" zoomScaleNormal="85" workbookViewId="0">
      <pane ySplit="1" topLeftCell="A19" activePane="bottomLeft" state="frozen"/>
      <selection activeCell="C1" sqref="C1"/>
      <selection pane="bottomLeft" activeCell="H54" sqref="H54"/>
    </sheetView>
  </sheetViews>
  <sheetFormatPr defaultColWidth="9.109375" defaultRowHeight="14.4" x14ac:dyDescent="0.3"/>
  <cols>
    <col min="1" max="1" width="12.33203125" style="11" customWidth="1"/>
    <col min="2" max="2" width="27.6640625" style="11" bestFit="1" customWidth="1"/>
    <col min="3" max="3" width="32.109375" style="11" bestFit="1" customWidth="1"/>
    <col min="4" max="4" width="12.88671875" style="11" bestFit="1" customWidth="1"/>
    <col min="5" max="5" width="21" style="11" bestFit="1" customWidth="1"/>
    <col min="6" max="6" width="60.109375" style="11" bestFit="1" customWidth="1"/>
    <col min="7" max="7" width="30.109375" style="11" bestFit="1" customWidth="1"/>
    <col min="8" max="8" width="29.109375" style="11" bestFit="1" customWidth="1"/>
    <col min="9" max="9" width="22.44140625" style="30" bestFit="1" customWidth="1"/>
    <col min="10" max="10" width="29.33203125" style="30" bestFit="1" customWidth="1"/>
    <col min="11" max="11" width="28.6640625" style="11" bestFit="1" customWidth="1"/>
    <col min="12" max="12" width="22" style="11" bestFit="1" customWidth="1"/>
    <col min="13" max="16384" width="9.109375" style="11"/>
  </cols>
  <sheetData>
    <row r="1" spans="1:12" s="3" customFormat="1" ht="23.25" customHeight="1" x14ac:dyDescent="0.3">
      <c r="A1" s="12" t="s">
        <v>0</v>
      </c>
      <c r="B1" s="12" t="s">
        <v>16</v>
      </c>
      <c r="C1" s="12" t="s">
        <v>17</v>
      </c>
      <c r="D1" s="12" t="s">
        <v>39</v>
      </c>
      <c r="E1" s="12" t="s">
        <v>35</v>
      </c>
      <c r="F1" s="12" t="s">
        <v>1</v>
      </c>
      <c r="G1" s="12" t="s">
        <v>12</v>
      </c>
      <c r="H1" s="12" t="s">
        <v>2</v>
      </c>
      <c r="I1" s="31" t="s">
        <v>3</v>
      </c>
      <c r="J1" s="31" t="s">
        <v>4</v>
      </c>
      <c r="K1" s="12" t="s">
        <v>5</v>
      </c>
      <c r="L1" s="12" t="s">
        <v>6</v>
      </c>
    </row>
    <row r="2" spans="1:12" hidden="1" x14ac:dyDescent="0.3">
      <c r="A2" s="17">
        <v>51</v>
      </c>
      <c r="B2" s="13">
        <v>45682.625</v>
      </c>
      <c r="C2" s="13" t="s">
        <v>62</v>
      </c>
      <c r="D2" s="14">
        <f>YEAR(Tabela1[[#This Row],[Data de Fechamento]])</f>
        <v>2025</v>
      </c>
      <c r="E2" s="15" t="str">
        <f>PROPER(TEXT(Tabela1[[#This Row],[Data de Fechamento]],"mmmm"))</f>
        <v>Janeiro</v>
      </c>
      <c r="F2" t="s">
        <v>48</v>
      </c>
      <c r="G2" t="s">
        <v>49</v>
      </c>
      <c r="H2" t="s">
        <v>23</v>
      </c>
      <c r="I2" s="2">
        <v>350</v>
      </c>
      <c r="J2" s="2">
        <v>0</v>
      </c>
      <c r="K2" s="17">
        <f>(Tabela1[[#This Row],[Data de Fechamento]]-Tabela1[[#This Row],[Data de Abertura]])*24</f>
        <v>9</v>
      </c>
      <c r="L2" s="16">
        <f t="shared" ref="L2:L12" si="0">I2+J2</f>
        <v>350</v>
      </c>
    </row>
    <row r="3" spans="1:12" hidden="1" x14ac:dyDescent="0.3">
      <c r="A3" s="17">
        <v>55</v>
      </c>
      <c r="B3" s="13">
        <v>45705.416666666664</v>
      </c>
      <c r="C3" s="13" t="s">
        <v>64</v>
      </c>
      <c r="D3" s="14">
        <f>YEAR(Tabela1[[#This Row],[Data de Fechamento]])</f>
        <v>2025</v>
      </c>
      <c r="E3" s="15" t="str">
        <f>PROPER(TEXT(Tabela1[[#This Row],[Data de Fechamento]],"mmmm"))</f>
        <v>Fevereiro</v>
      </c>
      <c r="F3" t="s">
        <v>55</v>
      </c>
      <c r="G3" t="s">
        <v>46</v>
      </c>
      <c r="H3" t="s">
        <v>22</v>
      </c>
      <c r="I3" s="2">
        <v>50</v>
      </c>
      <c r="J3" s="2">
        <v>0</v>
      </c>
      <c r="K3" s="17">
        <f>(Tabela1[[#This Row],[Data de Fechamento]]-Tabela1[[#This Row],[Data de Abertura]])*24</f>
        <v>66</v>
      </c>
      <c r="L3" s="16">
        <f t="shared" si="0"/>
        <v>50</v>
      </c>
    </row>
    <row r="4" spans="1:12" hidden="1" x14ac:dyDescent="0.3">
      <c r="A4" s="17">
        <v>58</v>
      </c>
      <c r="B4" s="13">
        <v>45736.572916666664</v>
      </c>
      <c r="C4" s="13" t="s">
        <v>68</v>
      </c>
      <c r="D4" s="14">
        <f>YEAR(Tabela1[[#This Row],[Data de Fechamento]])</f>
        <v>2025</v>
      </c>
      <c r="E4" s="15" t="str">
        <f>PROPER(TEXT(Tabela1[[#This Row],[Data de Fechamento]],"mmmm"))</f>
        <v>Março</v>
      </c>
      <c r="F4" t="s">
        <v>20</v>
      </c>
      <c r="G4" t="s">
        <v>21</v>
      </c>
      <c r="H4" t="s">
        <v>23</v>
      </c>
      <c r="I4" s="2">
        <v>500</v>
      </c>
      <c r="J4" s="2">
        <v>0</v>
      </c>
      <c r="K4" s="17">
        <f>(Tabela1[[#This Row],[Data de Fechamento]]-Tabela1[[#This Row],[Data de Abertura]])*24</f>
        <v>38.000000000058208</v>
      </c>
      <c r="L4" s="16">
        <f t="shared" si="0"/>
        <v>500</v>
      </c>
    </row>
    <row r="5" spans="1:12" hidden="1" x14ac:dyDescent="0.3">
      <c r="A5" s="17">
        <v>59</v>
      </c>
      <c r="B5" s="13">
        <v>45737.5</v>
      </c>
      <c r="C5" s="13" t="s">
        <v>69</v>
      </c>
      <c r="D5" s="14">
        <f>YEAR(Tabela1[[#This Row],[Data de Fechamento]])</f>
        <v>2025</v>
      </c>
      <c r="E5" s="15" t="str">
        <f>PROPER(TEXT(Tabela1[[#This Row],[Data de Fechamento]],"mmmm"))</f>
        <v>Março</v>
      </c>
      <c r="F5" t="s">
        <v>54</v>
      </c>
      <c r="G5" t="s">
        <v>46</v>
      </c>
      <c r="H5" t="s">
        <v>22</v>
      </c>
      <c r="I5" s="2">
        <v>100</v>
      </c>
      <c r="J5" s="2">
        <v>0</v>
      </c>
      <c r="K5" s="17">
        <f>(Tabela1[[#This Row],[Data de Fechamento]]-Tabela1[[#This Row],[Data de Abertura]])*24</f>
        <v>20.000000000058208</v>
      </c>
      <c r="L5" s="16">
        <f t="shared" si="0"/>
        <v>100</v>
      </c>
    </row>
    <row r="6" spans="1:12" hidden="1" x14ac:dyDescent="0.3">
      <c r="A6" s="17">
        <v>61</v>
      </c>
      <c r="B6" s="13">
        <v>45731.510416666664</v>
      </c>
      <c r="C6" s="13">
        <v>45733.052083333336</v>
      </c>
      <c r="D6" s="14">
        <f>YEAR(Tabela1[[#This Row],[Data de Fechamento]])</f>
        <v>2025</v>
      </c>
      <c r="E6" s="15" t="str">
        <f>PROPER(TEXT(Tabela1[[#This Row],[Data de Fechamento]],"mmmm"))</f>
        <v>Março</v>
      </c>
      <c r="F6" t="s">
        <v>90</v>
      </c>
      <c r="G6" t="s">
        <v>91</v>
      </c>
      <c r="H6" t="s">
        <v>22</v>
      </c>
      <c r="I6" s="2">
        <v>900</v>
      </c>
      <c r="J6" s="2">
        <v>433.23</v>
      </c>
      <c r="K6" s="17">
        <f>(Tabela1[[#This Row],[Data de Fechamento]]-Tabela1[[#This Row],[Data de Abertura]])*24</f>
        <v>37.000000000116415</v>
      </c>
      <c r="L6" s="16">
        <f t="shared" si="0"/>
        <v>1333.23</v>
      </c>
    </row>
    <row r="7" spans="1:12" hidden="1" x14ac:dyDescent="0.3">
      <c r="A7" s="17">
        <v>64</v>
      </c>
      <c r="B7" s="13">
        <v>45791.697916666664</v>
      </c>
      <c r="C7" s="13" t="s">
        <v>74</v>
      </c>
      <c r="D7" s="14">
        <f>YEAR(Tabela1[[#This Row],[Data de Fechamento]])</f>
        <v>2025</v>
      </c>
      <c r="E7" s="15" t="str">
        <f>PROPER(TEXT(Tabela1[[#This Row],[Data de Fechamento]],"mmmm"))</f>
        <v>Maio</v>
      </c>
      <c r="F7" t="s">
        <v>14</v>
      </c>
      <c r="G7" t="s">
        <v>15</v>
      </c>
      <c r="H7" t="s">
        <v>22</v>
      </c>
      <c r="I7" s="2">
        <v>2250</v>
      </c>
      <c r="J7" s="2">
        <v>0</v>
      </c>
      <c r="K7" s="17">
        <f>(Tabela1[[#This Row],[Data de Fechamento]]-Tabela1[[#This Row],[Data de Abertura]])*24</f>
        <v>7.0000000001164153</v>
      </c>
      <c r="L7" s="16">
        <f t="shared" si="0"/>
        <v>2250</v>
      </c>
    </row>
    <row r="8" spans="1:12" hidden="1" x14ac:dyDescent="0.3">
      <c r="A8" s="17">
        <v>100</v>
      </c>
      <c r="B8" s="13">
        <v>45979.333333333336</v>
      </c>
      <c r="C8" s="13">
        <v>45980.458333333336</v>
      </c>
      <c r="D8" s="14">
        <f>YEAR(Tabela1[[#This Row],[Data de Fechamento]])</f>
        <v>2025</v>
      </c>
      <c r="E8" s="15" t="str">
        <f>PROPER(TEXT(Tabela1[[#This Row],[Data de Fechamento]],"mmmm"))</f>
        <v>Novembro</v>
      </c>
      <c r="F8" s="15" t="s">
        <v>18</v>
      </c>
      <c r="G8" s="15" t="s">
        <v>19</v>
      </c>
      <c r="H8" s="15" t="s">
        <v>22</v>
      </c>
      <c r="I8" s="16">
        <v>500</v>
      </c>
      <c r="J8" s="16">
        <v>0</v>
      </c>
      <c r="K8" s="17">
        <f>(Tabela1[[#This Row],[Data de Fechamento]]-Tabela1[[#This Row],[Data de Abertura]])*24</f>
        <v>27</v>
      </c>
      <c r="L8" s="16">
        <f t="shared" si="0"/>
        <v>500</v>
      </c>
    </row>
    <row r="9" spans="1:12" hidden="1" x14ac:dyDescent="0.3">
      <c r="A9" s="17">
        <v>102</v>
      </c>
      <c r="B9" s="13">
        <v>45979.395833333336</v>
      </c>
      <c r="C9" s="13">
        <v>45999.444444444445</v>
      </c>
      <c r="D9" s="14">
        <f>YEAR(Tabela1[[#This Row],[Data de Fechamento]])</f>
        <v>2025</v>
      </c>
      <c r="E9" s="15" t="str">
        <f>PROPER(TEXT(Tabela1[[#This Row],[Data de Fechamento]],"mmmm"))</f>
        <v>Dezembro</v>
      </c>
      <c r="F9" s="15" t="s">
        <v>14</v>
      </c>
      <c r="G9" s="15" t="s">
        <v>15</v>
      </c>
      <c r="H9" s="15" t="s">
        <v>22</v>
      </c>
      <c r="I9" s="16">
        <v>1400</v>
      </c>
      <c r="J9" s="16">
        <v>0</v>
      </c>
      <c r="K9" s="17">
        <f>(Tabela1[[#This Row],[Data de Fechamento]]-Tabela1[[#This Row],[Data de Abertura]])*24</f>
        <v>481.16666666662786</v>
      </c>
      <c r="L9" s="16">
        <f t="shared" si="0"/>
        <v>1400</v>
      </c>
    </row>
    <row r="10" spans="1:12" hidden="1" x14ac:dyDescent="0.3">
      <c r="A10" s="17">
        <v>103</v>
      </c>
      <c r="B10" s="13">
        <v>45993.375</v>
      </c>
      <c r="C10" s="13">
        <v>45999.583333333336</v>
      </c>
      <c r="D10" s="14">
        <f>YEAR(Tabela1[[#This Row],[Data de Fechamento]])</f>
        <v>2025</v>
      </c>
      <c r="E10" s="15" t="str">
        <f>PROPER(TEXT(Tabela1[[#This Row],[Data de Fechamento]],"mmmm"))</f>
        <v>Dezembro</v>
      </c>
      <c r="F10" s="15" t="s">
        <v>78</v>
      </c>
      <c r="G10" s="15" t="s">
        <v>79</v>
      </c>
      <c r="H10" s="15" t="s">
        <v>23</v>
      </c>
      <c r="I10" s="16">
        <v>0</v>
      </c>
      <c r="J10" s="16">
        <v>0</v>
      </c>
      <c r="K10" s="17">
        <f>(Tabela1[[#This Row],[Data de Fechamento]]-Tabela1[[#This Row],[Data de Abertura]])*24</f>
        <v>149.00000000005821</v>
      </c>
      <c r="L10" s="16">
        <f t="shared" si="0"/>
        <v>0</v>
      </c>
    </row>
    <row r="11" spans="1:12" hidden="1" x14ac:dyDescent="0.3">
      <c r="A11" s="17">
        <v>104</v>
      </c>
      <c r="B11" s="13">
        <v>45992.416666666664</v>
      </c>
      <c r="C11" s="13">
        <v>45992.625</v>
      </c>
      <c r="D11" s="14">
        <f>YEAR(Tabela1[[#This Row],[Data de Fechamento]])</f>
        <v>2025</v>
      </c>
      <c r="E11" s="15" t="str">
        <f>PROPER(TEXT(Tabela1[[#This Row],[Data de Fechamento]],"mmmm"))</f>
        <v>Dezembro</v>
      </c>
      <c r="F11" s="15" t="s">
        <v>90</v>
      </c>
      <c r="G11" s="15" t="s">
        <v>91</v>
      </c>
      <c r="H11" s="15" t="s">
        <v>22</v>
      </c>
      <c r="I11" s="16">
        <v>400</v>
      </c>
      <c r="J11" s="16">
        <v>17.62</v>
      </c>
      <c r="K11" s="17">
        <f>(Tabela1[[#This Row],[Data de Fechamento]]-Tabela1[[#This Row],[Data de Abertura]])*24</f>
        <v>5.0000000000582077</v>
      </c>
      <c r="L11" s="16">
        <f t="shared" si="0"/>
        <v>417.62</v>
      </c>
    </row>
    <row r="12" spans="1:12" hidden="1" x14ac:dyDescent="0.3">
      <c r="A12" s="17">
        <v>106</v>
      </c>
      <c r="B12" s="13">
        <v>45999.416666666664</v>
      </c>
      <c r="C12" s="13">
        <v>45999.708333333336</v>
      </c>
      <c r="D12" s="14">
        <f>YEAR(Tabela1[[#This Row],[Data de Fechamento]])</f>
        <v>2025</v>
      </c>
      <c r="E12" s="15" t="str">
        <f>PROPER(TEXT(Tabela1[[#This Row],[Data de Fechamento]],"mmmm"))</f>
        <v>Dezembro</v>
      </c>
      <c r="F12" s="15" t="s">
        <v>20</v>
      </c>
      <c r="G12" s="15" t="s">
        <v>21</v>
      </c>
      <c r="H12" s="15" t="s">
        <v>23</v>
      </c>
      <c r="I12" s="16">
        <v>1758.2</v>
      </c>
      <c r="J12" s="16">
        <v>0</v>
      </c>
      <c r="K12" s="17">
        <f>(Tabela1[[#This Row],[Data de Fechamento]]-Tabela1[[#This Row],[Data de Abertura]])*24</f>
        <v>7.0000000001164153</v>
      </c>
      <c r="L12" s="16">
        <f t="shared" si="0"/>
        <v>1758.2</v>
      </c>
    </row>
    <row r="13" spans="1:12" x14ac:dyDescent="0.3">
      <c r="A13" s="17">
        <v>107</v>
      </c>
      <c r="B13" s="13">
        <v>46097.541666666664</v>
      </c>
      <c r="C13" s="13">
        <v>46097.625</v>
      </c>
      <c r="D13" s="14">
        <f>YEAR(Tabela1[[#This Row],[Data de Fechamento]])</f>
        <v>2026</v>
      </c>
      <c r="E13" s="35" t="str">
        <f>PROPER(TEXT(Tabela1[[#This Row],[Data de Fechamento]],"mmmm"))</f>
        <v>Março</v>
      </c>
      <c r="F13" s="15" t="s">
        <v>90</v>
      </c>
      <c r="G13" s="15" t="s">
        <v>91</v>
      </c>
      <c r="H13" s="15" t="s">
        <v>23</v>
      </c>
      <c r="I13" s="16">
        <v>0</v>
      </c>
      <c r="J13" s="16">
        <v>460</v>
      </c>
      <c r="K13" s="17">
        <f>(Tabela1[[#This Row],[Data de Fechamento]]-Tabela1[[#This Row],[Data de Abertura]])*24</f>
        <v>2.0000000000582077</v>
      </c>
      <c r="L13" s="16">
        <f t="shared" ref="L13:L56" si="1">I13+J13</f>
        <v>460</v>
      </c>
    </row>
    <row r="14" spans="1:12" x14ac:dyDescent="0.3">
      <c r="A14" s="17">
        <v>108</v>
      </c>
      <c r="B14" s="13">
        <v>46038.493055555555</v>
      </c>
      <c r="C14" s="13">
        <v>46043.441666666666</v>
      </c>
      <c r="D14" s="14">
        <f>YEAR(Tabela1[[#This Row],[Data de Fechamento]])</f>
        <v>2026</v>
      </c>
      <c r="E14" s="35" t="str">
        <f>PROPER(TEXT(Tabela1[[#This Row],[Data de Fechamento]],"mmmm"))</f>
        <v>Janeiro</v>
      </c>
      <c r="F14" s="15" t="s">
        <v>11</v>
      </c>
      <c r="G14" s="15" t="s">
        <v>13</v>
      </c>
      <c r="H14" s="15" t="s">
        <v>22</v>
      </c>
      <c r="I14" s="16">
        <v>1125</v>
      </c>
      <c r="J14" s="16">
        <v>0</v>
      </c>
      <c r="K14" s="17">
        <f>(Tabela1[[#This Row],[Data de Fechamento]]-Tabela1[[#This Row],[Data de Abertura]])*24</f>
        <v>118.76666666666279</v>
      </c>
      <c r="L14" s="16">
        <f t="shared" si="1"/>
        <v>1125</v>
      </c>
    </row>
    <row r="15" spans="1:12" x14ac:dyDescent="0.3">
      <c r="A15" s="17">
        <v>109</v>
      </c>
      <c r="B15" s="13">
        <v>46042.493055555555</v>
      </c>
      <c r="C15" s="13">
        <v>46066.583333333336</v>
      </c>
      <c r="D15" s="14">
        <f>YEAR(Tabela1[[#This Row],[Data de Fechamento]])</f>
        <v>2026</v>
      </c>
      <c r="E15" s="35" t="str">
        <f>PROPER(TEXT(Tabela1[[#This Row],[Data de Fechamento]],"mmmm"))</f>
        <v>Fevereiro</v>
      </c>
      <c r="F15" s="15" t="s">
        <v>14</v>
      </c>
      <c r="G15" s="15" t="s">
        <v>15</v>
      </c>
      <c r="H15" s="15" t="s">
        <v>23</v>
      </c>
      <c r="I15" s="16">
        <v>850</v>
      </c>
      <c r="J15" s="16">
        <v>0</v>
      </c>
      <c r="K15" s="17">
        <f>(Tabela1[[#This Row],[Data de Fechamento]]-Tabela1[[#This Row],[Data de Abertura]])*24</f>
        <v>578.16666666674428</v>
      </c>
      <c r="L15" s="16">
        <f t="shared" si="1"/>
        <v>850</v>
      </c>
    </row>
    <row r="16" spans="1:12" x14ac:dyDescent="0.3">
      <c r="A16" s="17">
        <v>110</v>
      </c>
      <c r="B16" s="13">
        <v>46042.375</v>
      </c>
      <c r="C16" s="13">
        <v>46045.458333333336</v>
      </c>
      <c r="D16" s="14">
        <f>YEAR(Tabela1[[#This Row],[Data de Fechamento]])</f>
        <v>2026</v>
      </c>
      <c r="E16" s="35" t="str">
        <f>PROPER(TEXT(Tabela1[[#This Row],[Data de Fechamento]],"mmmm"))</f>
        <v>Janeiro</v>
      </c>
      <c r="F16" s="15" t="s">
        <v>20</v>
      </c>
      <c r="G16" s="15" t="s">
        <v>21</v>
      </c>
      <c r="H16" s="15" t="s">
        <v>22</v>
      </c>
      <c r="I16" s="16">
        <v>945</v>
      </c>
      <c r="J16" s="16">
        <v>0</v>
      </c>
      <c r="K16" s="17">
        <f>(Tabela1[[#This Row],[Data de Fechamento]]-Tabela1[[#This Row],[Data de Abertura]])*24</f>
        <v>74.000000000058208</v>
      </c>
      <c r="L16" s="16">
        <f t="shared" si="1"/>
        <v>945</v>
      </c>
    </row>
    <row r="17" spans="1:12" x14ac:dyDescent="0.3">
      <c r="A17" s="17">
        <v>111</v>
      </c>
      <c r="B17" s="13">
        <v>46043.375</v>
      </c>
      <c r="C17" s="13">
        <v>46043.631944444445</v>
      </c>
      <c r="D17" s="14">
        <f>YEAR(Tabela1[[#This Row],[Data de Fechamento]])</f>
        <v>2026</v>
      </c>
      <c r="E17" s="35" t="str">
        <f>PROPER(TEXT(Tabela1[[#This Row],[Data de Fechamento]],"mmmm"))</f>
        <v>Janeiro</v>
      </c>
      <c r="F17" s="15" t="s">
        <v>56</v>
      </c>
      <c r="G17" s="15" t="s">
        <v>57</v>
      </c>
      <c r="H17" s="15" t="s">
        <v>23</v>
      </c>
      <c r="I17" s="16">
        <v>900</v>
      </c>
      <c r="J17" s="16">
        <v>0</v>
      </c>
      <c r="K17" s="17">
        <f>(Tabela1[[#This Row],[Data de Fechamento]]-Tabela1[[#This Row],[Data de Abertura]])*24</f>
        <v>6.1666666666860692</v>
      </c>
      <c r="L17" s="16">
        <f t="shared" si="1"/>
        <v>900</v>
      </c>
    </row>
    <row r="18" spans="1:12" x14ac:dyDescent="0.3">
      <c r="A18" s="17">
        <v>112</v>
      </c>
      <c r="B18" s="13">
        <v>46049.375</v>
      </c>
      <c r="C18" s="13">
        <v>46049.458333333336</v>
      </c>
      <c r="D18" s="14">
        <f>YEAR(Tabela1[[#This Row],[Data de Fechamento]])</f>
        <v>2026</v>
      </c>
      <c r="E18" s="35" t="str">
        <f>PROPER(TEXT(Tabela1[[#This Row],[Data de Fechamento]],"mmmm"))</f>
        <v>Janeiro</v>
      </c>
      <c r="F18" s="15" t="s">
        <v>83</v>
      </c>
      <c r="G18" s="15" t="s">
        <v>84</v>
      </c>
      <c r="H18" s="15" t="s">
        <v>22</v>
      </c>
      <c r="I18" s="16">
        <v>260</v>
      </c>
      <c r="J18" s="16">
        <v>0</v>
      </c>
      <c r="K18" s="17">
        <f>(Tabela1[[#This Row],[Data de Fechamento]]-Tabela1[[#This Row],[Data de Abertura]])*24</f>
        <v>2.0000000000582077</v>
      </c>
      <c r="L18" s="16">
        <f t="shared" si="1"/>
        <v>260</v>
      </c>
    </row>
    <row r="19" spans="1:12" x14ac:dyDescent="0.3">
      <c r="A19" s="17">
        <v>113</v>
      </c>
      <c r="B19" s="13">
        <v>46056.4375</v>
      </c>
      <c r="C19" s="13">
        <v>46058.666666666664</v>
      </c>
      <c r="D19" s="14">
        <f>YEAR(Tabela1[[#This Row],[Data de Fechamento]])</f>
        <v>2026</v>
      </c>
      <c r="E19" s="35" t="str">
        <f>PROPER(TEXT(Tabela1[[#This Row],[Data de Fechamento]],"mmmm"))</f>
        <v>Fevereiro</v>
      </c>
      <c r="F19" s="15" t="s">
        <v>20</v>
      </c>
      <c r="G19" s="15" t="s">
        <v>21</v>
      </c>
      <c r="H19" s="15" t="s">
        <v>22</v>
      </c>
      <c r="I19" s="16">
        <v>800</v>
      </c>
      <c r="J19" s="16">
        <v>0</v>
      </c>
      <c r="K19" s="17">
        <f>(Tabela1[[#This Row],[Data de Fechamento]]-Tabela1[[#This Row],[Data de Abertura]])*24</f>
        <v>53.499999999941792</v>
      </c>
      <c r="L19" s="16">
        <f t="shared" si="1"/>
        <v>800</v>
      </c>
    </row>
    <row r="20" spans="1:12" x14ac:dyDescent="0.3">
      <c r="A20" s="17">
        <v>114</v>
      </c>
      <c r="B20" s="13">
        <v>46062.395833333336</v>
      </c>
      <c r="C20" s="13">
        <v>46064.625</v>
      </c>
      <c r="D20" s="14">
        <f>YEAR(Tabela1[[#This Row],[Data de Fechamento]])</f>
        <v>2026</v>
      </c>
      <c r="E20" s="35" t="str">
        <f>PROPER(TEXT(Tabela1[[#This Row],[Data de Fechamento]],"mmmm"))</f>
        <v>Fevereiro</v>
      </c>
      <c r="F20" s="15" t="s">
        <v>85</v>
      </c>
      <c r="G20" s="15" t="s">
        <v>86</v>
      </c>
      <c r="H20" s="15" t="s">
        <v>23</v>
      </c>
      <c r="I20" s="16">
        <v>570</v>
      </c>
      <c r="J20" s="16">
        <v>0</v>
      </c>
      <c r="K20" s="17">
        <f>(Tabela1[[#This Row],[Data de Fechamento]]-Tabela1[[#This Row],[Data de Abertura]])*24</f>
        <v>53.499999999941792</v>
      </c>
      <c r="L20" s="16">
        <f t="shared" si="1"/>
        <v>570</v>
      </c>
    </row>
    <row r="21" spans="1:12" x14ac:dyDescent="0.3">
      <c r="A21" s="17">
        <v>115</v>
      </c>
      <c r="B21" s="13">
        <v>46065.416666666664</v>
      </c>
      <c r="C21" s="13">
        <v>46065.625</v>
      </c>
      <c r="D21" s="14">
        <f>YEAR(Tabela1[[#This Row],[Data de Fechamento]])</f>
        <v>2026</v>
      </c>
      <c r="E21" s="35" t="str">
        <f>PROPER(TEXT(Tabela1[[#This Row],[Data de Fechamento]],"mmmm"))</f>
        <v>Fevereiro</v>
      </c>
      <c r="F21" s="15" t="s">
        <v>56</v>
      </c>
      <c r="G21" s="15" t="s">
        <v>57</v>
      </c>
      <c r="H21" s="15" t="s">
        <v>23</v>
      </c>
      <c r="I21" s="16">
        <v>1025</v>
      </c>
      <c r="J21" s="16">
        <v>0</v>
      </c>
      <c r="K21" s="17">
        <f>(Tabela1[[#This Row],[Data de Fechamento]]-Tabela1[[#This Row],[Data de Abertura]])*24</f>
        <v>5.0000000000582077</v>
      </c>
      <c r="L21" s="16">
        <f t="shared" si="1"/>
        <v>1025</v>
      </c>
    </row>
    <row r="22" spans="1:12" x14ac:dyDescent="0.3">
      <c r="A22" s="17">
        <v>116</v>
      </c>
      <c r="B22" s="13">
        <v>46071.333333333336</v>
      </c>
      <c r="C22" s="13">
        <v>46072.625</v>
      </c>
      <c r="D22" s="14">
        <f>YEAR(Tabela1[[#This Row],[Data de Fechamento]])</f>
        <v>2026</v>
      </c>
      <c r="E22" s="35" t="str">
        <f>PROPER(TEXT(Tabela1[[#This Row],[Data de Fechamento]],"mmmm"))</f>
        <v>Fevereiro</v>
      </c>
      <c r="F22" s="15" t="s">
        <v>20</v>
      </c>
      <c r="G22" s="15" t="s">
        <v>21</v>
      </c>
      <c r="H22" s="15" t="s">
        <v>22</v>
      </c>
      <c r="I22" s="16">
        <v>1000</v>
      </c>
      <c r="J22" s="16">
        <v>0</v>
      </c>
      <c r="K22" s="17">
        <f>(Tabela1[[#This Row],[Data de Fechamento]]-Tabela1[[#This Row],[Data de Abertura]])*24</f>
        <v>30.999999999941792</v>
      </c>
      <c r="L22" s="16">
        <f t="shared" si="1"/>
        <v>1000</v>
      </c>
    </row>
    <row r="23" spans="1:12" x14ac:dyDescent="0.3">
      <c r="A23" s="17">
        <v>117</v>
      </c>
      <c r="B23" s="13">
        <v>46073.441666666666</v>
      </c>
      <c r="C23" s="13">
        <v>46073.666666666664</v>
      </c>
      <c r="D23" s="14">
        <f>YEAR(Tabela1[[#This Row],[Data de Fechamento]])</f>
        <v>2026</v>
      </c>
      <c r="E23" s="35" t="str">
        <f>PROPER(TEXT(Tabela1[[#This Row],[Data de Fechamento]],"mmmm"))</f>
        <v>Fevereiro</v>
      </c>
      <c r="F23" s="15" t="s">
        <v>87</v>
      </c>
      <c r="G23" s="15" t="s">
        <v>46</v>
      </c>
      <c r="H23" s="15" t="s">
        <v>10</v>
      </c>
      <c r="I23" s="16">
        <v>600</v>
      </c>
      <c r="J23" s="16">
        <v>0</v>
      </c>
      <c r="K23" s="17">
        <f>(Tabela1[[#This Row],[Data de Fechamento]]-Tabela1[[#This Row],[Data de Abertura]])*24</f>
        <v>5.3999999999650754</v>
      </c>
      <c r="L23" s="16">
        <f t="shared" si="1"/>
        <v>600</v>
      </c>
    </row>
    <row r="24" spans="1:12" x14ac:dyDescent="0.3">
      <c r="A24" s="17">
        <v>118</v>
      </c>
      <c r="B24" s="13">
        <v>46118.395833333336</v>
      </c>
      <c r="C24" s="13">
        <v>46119.354166666664</v>
      </c>
      <c r="D24" s="14">
        <f>YEAR(Tabela1[[#This Row],[Data de Fechamento]])</f>
        <v>2026</v>
      </c>
      <c r="E24" s="35" t="str">
        <f>PROPER(TEXT(Tabela1[[#This Row],[Data de Fechamento]],"mmmm"))</f>
        <v>Abril</v>
      </c>
      <c r="F24" s="15" t="s">
        <v>92</v>
      </c>
      <c r="G24" s="15" t="s">
        <v>93</v>
      </c>
      <c r="H24" s="15" t="s">
        <v>23</v>
      </c>
      <c r="I24" s="16">
        <v>0</v>
      </c>
      <c r="J24" s="16">
        <v>129.33000000000001</v>
      </c>
      <c r="K24" s="17">
        <f>(Tabela1[[#This Row],[Data de Fechamento]]-Tabela1[[#This Row],[Data de Abertura]])*24</f>
        <v>22.999999999883585</v>
      </c>
      <c r="L24" s="16">
        <f t="shared" si="1"/>
        <v>129.33000000000001</v>
      </c>
    </row>
    <row r="25" spans="1:12" x14ac:dyDescent="0.3">
      <c r="A25" s="17">
        <v>119</v>
      </c>
      <c r="B25" s="13">
        <v>46087.680555555555</v>
      </c>
      <c r="C25" s="13">
        <v>46098.666666666664</v>
      </c>
      <c r="D25" s="14">
        <f>YEAR(Tabela1[[#This Row],[Data de Fechamento]])</f>
        <v>2026</v>
      </c>
      <c r="E25" s="35" t="str">
        <f>PROPER(TEXT(Tabela1[[#This Row],[Data de Fechamento]],"mmmm"))</f>
        <v>Março</v>
      </c>
      <c r="F25" s="15" t="s">
        <v>20</v>
      </c>
      <c r="G25" s="15" t="s">
        <v>21</v>
      </c>
      <c r="H25" s="15" t="s">
        <v>22</v>
      </c>
      <c r="I25" s="16">
        <f>937+1399.99</f>
        <v>2336.9899999999998</v>
      </c>
      <c r="J25" s="16">
        <v>6200</v>
      </c>
      <c r="K25" s="17">
        <f>(Tabela1[[#This Row],[Data de Fechamento]]-Tabela1[[#This Row],[Data de Abertura]])*24</f>
        <v>263.66666666662786</v>
      </c>
      <c r="L25" s="16">
        <f t="shared" si="1"/>
        <v>8536.99</v>
      </c>
    </row>
    <row r="26" spans="1:12" x14ac:dyDescent="0.3">
      <c r="A26" s="17">
        <v>120</v>
      </c>
      <c r="B26" s="13">
        <v>46066.541666666664</v>
      </c>
      <c r="C26" s="13">
        <v>46113.666666666664</v>
      </c>
      <c r="D26" s="14">
        <f>YEAR(Tabela1[[#This Row],[Data de Fechamento]])</f>
        <v>2026</v>
      </c>
      <c r="E26" s="35" t="str">
        <f>PROPER(TEXT(Tabela1[[#This Row],[Data de Fechamento]],"mmmm"))</f>
        <v>Abril</v>
      </c>
      <c r="F26" s="15" t="s">
        <v>89</v>
      </c>
      <c r="G26" s="15" t="s">
        <v>19</v>
      </c>
      <c r="H26" s="15" t="s">
        <v>23</v>
      </c>
      <c r="I26" s="16">
        <v>2000</v>
      </c>
      <c r="J26" s="16">
        <v>0</v>
      </c>
      <c r="K26" s="17">
        <f>(Tabela1[[#This Row],[Data de Fechamento]]-Tabela1[[#This Row],[Data de Abertura]])*24</f>
        <v>1131</v>
      </c>
      <c r="L26" s="16">
        <f t="shared" si="1"/>
        <v>2000</v>
      </c>
    </row>
    <row r="27" spans="1:12" x14ac:dyDescent="0.3">
      <c r="A27" s="17">
        <v>121</v>
      </c>
      <c r="B27" s="13">
        <v>46108.541666666664</v>
      </c>
      <c r="C27" s="13">
        <v>46108.625</v>
      </c>
      <c r="D27" s="14">
        <f>YEAR(Tabela1[[#This Row],[Data de Fechamento]])</f>
        <v>2026</v>
      </c>
      <c r="E27" s="35" t="str">
        <f>PROPER(TEXT(Tabela1[[#This Row],[Data de Fechamento]],"mmmm"))</f>
        <v>Março</v>
      </c>
      <c r="F27" s="15" t="s">
        <v>99</v>
      </c>
      <c r="G27" s="15" t="s">
        <v>79</v>
      </c>
      <c r="H27" s="15" t="s">
        <v>22</v>
      </c>
      <c r="I27" s="16">
        <v>0</v>
      </c>
      <c r="J27" s="16">
        <v>23</v>
      </c>
      <c r="K27" s="17">
        <f>(Tabela1[[#This Row],[Data de Fechamento]]-Tabela1[[#This Row],[Data de Abertura]])*24</f>
        <v>2.0000000000582077</v>
      </c>
      <c r="L27" s="16">
        <f t="shared" si="1"/>
        <v>23</v>
      </c>
    </row>
    <row r="28" spans="1:12" x14ac:dyDescent="0.3">
      <c r="A28" s="17">
        <v>122</v>
      </c>
      <c r="B28" s="13">
        <v>46077.541666666664</v>
      </c>
      <c r="C28" s="13">
        <v>46082.541666666664</v>
      </c>
      <c r="D28" s="14">
        <f>YEAR(Tabela1[[#This Row],[Data de Fechamento]])</f>
        <v>2026</v>
      </c>
      <c r="E28" s="35" t="str">
        <f>PROPER(TEXT(Tabela1[[#This Row],[Data de Fechamento]],"mmmm"))</f>
        <v>Março</v>
      </c>
      <c r="F28" s="15" t="s">
        <v>90</v>
      </c>
      <c r="G28" s="15" t="s">
        <v>91</v>
      </c>
      <c r="H28" s="15" t="s">
        <v>22</v>
      </c>
      <c r="I28" s="16">
        <v>0</v>
      </c>
      <c r="J28" s="16">
        <v>1916.23</v>
      </c>
      <c r="K28" s="17">
        <f>(Tabela1[[#This Row],[Data de Fechamento]]-Tabela1[[#This Row],[Data de Abertura]])*24</f>
        <v>120</v>
      </c>
      <c r="L28" s="16">
        <f t="shared" si="1"/>
        <v>1916.23</v>
      </c>
    </row>
    <row r="29" spans="1:12" x14ac:dyDescent="0.3">
      <c r="A29" s="17">
        <v>123</v>
      </c>
      <c r="B29" s="13">
        <v>46122.333333333336</v>
      </c>
      <c r="C29" s="13">
        <v>46122.416666666664</v>
      </c>
      <c r="D29" s="14">
        <f>YEAR(Tabela1[[#This Row],[Data de Fechamento]])</f>
        <v>2026</v>
      </c>
      <c r="E29" s="15" t="str">
        <f>PROPER(TEXT(Tabela1[[#This Row],[Data de Fechamento]],"mmmm"))</f>
        <v>Abril</v>
      </c>
      <c r="F29" s="15" t="s">
        <v>94</v>
      </c>
      <c r="G29" s="15" t="s">
        <v>95</v>
      </c>
      <c r="H29" s="15" t="s">
        <v>23</v>
      </c>
      <c r="I29" s="16">
        <v>0</v>
      </c>
      <c r="J29" s="16">
        <v>1354</v>
      </c>
      <c r="K29" s="17">
        <f>(Tabela1[[#This Row],[Data de Fechamento]]-Tabela1[[#This Row],[Data de Abertura]])*24</f>
        <v>1.9999999998835847</v>
      </c>
      <c r="L29" s="16">
        <f t="shared" si="1"/>
        <v>1354</v>
      </c>
    </row>
    <row r="30" spans="1:12" hidden="1" x14ac:dyDescent="0.3">
      <c r="A30" s="17" t="s">
        <v>46</v>
      </c>
      <c r="B30" s="13">
        <v>45658.333333333336</v>
      </c>
      <c r="C30" s="13" t="s">
        <v>61</v>
      </c>
      <c r="D30" s="14">
        <f>YEAR(Tabela1[[#This Row],[Data de Fechamento]])</f>
        <v>2025</v>
      </c>
      <c r="E30" s="15" t="str">
        <f>PROPER(TEXT(Tabela1[[#This Row],[Data de Fechamento]],"mmmm"))</f>
        <v>Janeiro</v>
      </c>
      <c r="F30" t="s">
        <v>46</v>
      </c>
      <c r="G30" t="s">
        <v>46</v>
      </c>
      <c r="H30" t="s">
        <v>7</v>
      </c>
      <c r="I30" s="2">
        <v>3850</v>
      </c>
      <c r="J30" s="2">
        <v>0</v>
      </c>
      <c r="K30" s="17">
        <f>(Tabela1[[#This Row],[Data de Fechamento]]-Tabela1[[#This Row],[Data de Abertura]])*24</f>
        <v>33</v>
      </c>
      <c r="L30" s="16">
        <f t="shared" si="1"/>
        <v>3850</v>
      </c>
    </row>
    <row r="31" spans="1:12" hidden="1" x14ac:dyDescent="0.3">
      <c r="A31" s="17" t="s">
        <v>46</v>
      </c>
      <c r="B31" s="13">
        <v>45689.333333333336</v>
      </c>
      <c r="C31" s="13" t="s">
        <v>63</v>
      </c>
      <c r="D31" s="14">
        <f>YEAR(Tabela1[[#This Row],[Data de Fechamento]])</f>
        <v>2025</v>
      </c>
      <c r="E31" s="15" t="str">
        <f>PROPER(TEXT(Tabela1[[#This Row],[Data de Fechamento]],"mmmm"))</f>
        <v>Fevereiro</v>
      </c>
      <c r="F31" t="s">
        <v>46</v>
      </c>
      <c r="G31" t="s">
        <v>46</v>
      </c>
      <c r="H31" t="s">
        <v>7</v>
      </c>
      <c r="I31" s="2">
        <v>3167</v>
      </c>
      <c r="J31" s="2">
        <v>0</v>
      </c>
      <c r="K31" s="17">
        <f>(Tabela1[[#This Row],[Data de Fechamento]]-Tabela1[[#This Row],[Data de Abertura]])*24</f>
        <v>33</v>
      </c>
      <c r="L31" s="16">
        <f t="shared" si="1"/>
        <v>3167</v>
      </c>
    </row>
    <row r="32" spans="1:12" hidden="1" x14ac:dyDescent="0.3">
      <c r="A32" s="17" t="s">
        <v>46</v>
      </c>
      <c r="B32" s="13">
        <v>45697.604166666664</v>
      </c>
      <c r="C32" s="13" t="s">
        <v>65</v>
      </c>
      <c r="D32" s="14">
        <f>YEAR(Tabela1[[#This Row],[Data de Fechamento]])</f>
        <v>2025</v>
      </c>
      <c r="E32" s="15" t="str">
        <f>PROPER(TEXT(Tabela1[[#This Row],[Data de Fechamento]],"mmmm"))</f>
        <v>Fevereiro</v>
      </c>
      <c r="F32" t="s">
        <v>18</v>
      </c>
      <c r="G32" t="s">
        <v>19</v>
      </c>
      <c r="H32" t="s">
        <v>22</v>
      </c>
      <c r="I32" s="2">
        <v>983</v>
      </c>
      <c r="J32" s="2">
        <v>0</v>
      </c>
      <c r="K32" s="17">
        <f>(Tabela1[[#This Row],[Data de Fechamento]]-Tabela1[[#This Row],[Data de Abertura]])*24</f>
        <v>36</v>
      </c>
      <c r="L32" s="16">
        <f t="shared" si="1"/>
        <v>983</v>
      </c>
    </row>
    <row r="33" spans="1:12" hidden="1" x14ac:dyDescent="0.3">
      <c r="A33" s="17" t="s">
        <v>46</v>
      </c>
      <c r="B33" s="13">
        <v>45717.333333333336</v>
      </c>
      <c r="C33" s="13" t="s">
        <v>66</v>
      </c>
      <c r="D33" s="14">
        <f>YEAR(Tabela1[[#This Row],[Data de Fechamento]])</f>
        <v>2025</v>
      </c>
      <c r="E33" s="15" t="str">
        <f>PROPER(TEXT(Tabela1[[#This Row],[Data de Fechamento]],"mmmm"))</f>
        <v>Março</v>
      </c>
      <c r="F33" t="s">
        <v>46</v>
      </c>
      <c r="G33" t="s">
        <v>46</v>
      </c>
      <c r="H33" t="s">
        <v>7</v>
      </c>
      <c r="I33" s="2">
        <v>2700</v>
      </c>
      <c r="J33" s="2">
        <v>0</v>
      </c>
      <c r="K33" s="17">
        <f>(Tabela1[[#This Row],[Data de Fechamento]]-Tabela1[[#This Row],[Data de Abertura]])*24</f>
        <v>33</v>
      </c>
      <c r="L33" s="16">
        <f t="shared" si="1"/>
        <v>2700</v>
      </c>
    </row>
    <row r="34" spans="1:12" hidden="1" x14ac:dyDescent="0.3">
      <c r="A34" s="17" t="s">
        <v>46</v>
      </c>
      <c r="B34" s="13">
        <v>45719.510416666664</v>
      </c>
      <c r="C34" s="13" t="s">
        <v>67</v>
      </c>
      <c r="D34" s="14">
        <f>YEAR(Tabela1[[#This Row],[Data de Fechamento]])</f>
        <v>2025</v>
      </c>
      <c r="E34" s="15" t="str">
        <f>PROPER(TEXT(Tabela1[[#This Row],[Data de Fechamento]],"mmmm"))</f>
        <v>Março</v>
      </c>
      <c r="F34" t="s">
        <v>55</v>
      </c>
      <c r="G34" t="s">
        <v>46</v>
      </c>
      <c r="H34" t="s">
        <v>22</v>
      </c>
      <c r="I34" s="2">
        <v>100</v>
      </c>
      <c r="J34" s="2">
        <v>0</v>
      </c>
      <c r="K34" s="17">
        <f>(Tabela1[[#This Row],[Data de Fechamento]]-Tabela1[[#This Row],[Data de Abertura]])*24</f>
        <v>11.000000000058208</v>
      </c>
      <c r="L34" s="16">
        <f t="shared" si="1"/>
        <v>100</v>
      </c>
    </row>
    <row r="35" spans="1:12" hidden="1" x14ac:dyDescent="0.3">
      <c r="A35" s="17" t="s">
        <v>46</v>
      </c>
      <c r="B35" s="13">
        <v>45748.333333333336</v>
      </c>
      <c r="C35" s="13" t="s">
        <v>70</v>
      </c>
      <c r="D35" s="14">
        <f>YEAR(Tabela1[[#This Row],[Data de Fechamento]])</f>
        <v>2025</v>
      </c>
      <c r="E35" s="15" t="str">
        <f>PROPER(TEXT(Tabela1[[#This Row],[Data de Fechamento]],"mmmm"))</f>
        <v>Abril</v>
      </c>
      <c r="F35" t="s">
        <v>46</v>
      </c>
      <c r="G35" t="s">
        <v>46</v>
      </c>
      <c r="H35" t="s">
        <v>7</v>
      </c>
      <c r="I35" s="2">
        <v>2775</v>
      </c>
      <c r="J35" s="2">
        <v>0</v>
      </c>
      <c r="K35" s="17">
        <f>(Tabela1[[#This Row],[Data de Fechamento]]-Tabela1[[#This Row],[Data de Abertura]])*24</f>
        <v>33</v>
      </c>
      <c r="L35" s="16">
        <f t="shared" si="1"/>
        <v>2775</v>
      </c>
    </row>
    <row r="36" spans="1:12" hidden="1" x14ac:dyDescent="0.3">
      <c r="A36" s="17" t="s">
        <v>46</v>
      </c>
      <c r="B36" s="13">
        <v>45759.65625</v>
      </c>
      <c r="C36" s="13" t="s">
        <v>71</v>
      </c>
      <c r="D36" s="14">
        <f>YEAR(Tabela1[[#This Row],[Data de Fechamento]])</f>
        <v>2025</v>
      </c>
      <c r="E36" s="15" t="str">
        <f>PROPER(TEXT(Tabela1[[#This Row],[Data de Fechamento]],"mmmm"))</f>
        <v>Abril</v>
      </c>
      <c r="F36" t="s">
        <v>89</v>
      </c>
      <c r="G36" t="s">
        <v>19</v>
      </c>
      <c r="H36" t="s">
        <v>23</v>
      </c>
      <c r="I36" s="2">
        <v>525</v>
      </c>
      <c r="J36" s="2">
        <v>101.72</v>
      </c>
      <c r="K36" s="17">
        <f>(Tabela1[[#This Row],[Data de Fechamento]]-Tabela1[[#This Row],[Data de Abertura]])*24</f>
        <v>15.999999999941792</v>
      </c>
      <c r="L36" s="16">
        <f t="shared" si="1"/>
        <v>626.72</v>
      </c>
    </row>
    <row r="37" spans="1:12" hidden="1" x14ac:dyDescent="0.3">
      <c r="A37" s="17" t="s">
        <v>46</v>
      </c>
      <c r="B37" s="13">
        <v>45778.333333333336</v>
      </c>
      <c r="C37" s="13" t="s">
        <v>72</v>
      </c>
      <c r="D37" s="14">
        <f>YEAR(Tabela1[[#This Row],[Data de Fechamento]])</f>
        <v>2025</v>
      </c>
      <c r="E37" s="15" t="str">
        <f>PROPER(TEXT(Tabela1[[#This Row],[Data de Fechamento]],"mmmm"))</f>
        <v>Maio</v>
      </c>
      <c r="F37" t="s">
        <v>46</v>
      </c>
      <c r="G37" t="s">
        <v>46</v>
      </c>
      <c r="H37" t="s">
        <v>7</v>
      </c>
      <c r="I37" s="2">
        <v>3687</v>
      </c>
      <c r="J37" s="2">
        <v>0</v>
      </c>
      <c r="K37" s="17">
        <f>(Tabela1[[#This Row],[Data de Fechamento]]-Tabela1[[#This Row],[Data de Abertura]])*24</f>
        <v>33</v>
      </c>
      <c r="L37" s="16">
        <f t="shared" si="1"/>
        <v>3687</v>
      </c>
    </row>
    <row r="38" spans="1:12" hidden="1" x14ac:dyDescent="0.3">
      <c r="A38" s="17" t="s">
        <v>46</v>
      </c>
      <c r="B38" s="13">
        <v>45780.635416666664</v>
      </c>
      <c r="C38" s="13" t="s">
        <v>73</v>
      </c>
      <c r="D38" s="14">
        <f>YEAR(Tabela1[[#This Row],[Data de Fechamento]])</f>
        <v>2025</v>
      </c>
      <c r="E38" s="15" t="str">
        <f>PROPER(TEXT(Tabela1[[#This Row],[Data de Fechamento]],"mmmm"))</f>
        <v>Maio</v>
      </c>
      <c r="F38" t="s">
        <v>52</v>
      </c>
      <c r="G38" t="s">
        <v>53</v>
      </c>
      <c r="H38" t="s">
        <v>22</v>
      </c>
      <c r="I38" s="2">
        <v>300</v>
      </c>
      <c r="J38" s="2">
        <v>270.64999999999998</v>
      </c>
      <c r="K38" s="17">
        <f>(Tabela1[[#This Row],[Data de Fechamento]]-Tabela1[[#This Row],[Data de Abertura]])*24</f>
        <v>70.000000000116415</v>
      </c>
      <c r="L38" s="16">
        <f t="shared" si="1"/>
        <v>570.65</v>
      </c>
    </row>
    <row r="39" spans="1:12" hidden="1" x14ac:dyDescent="0.3">
      <c r="A39" s="17" t="s">
        <v>46</v>
      </c>
      <c r="B39" s="13">
        <v>45785.635416666664</v>
      </c>
      <c r="C39" s="13">
        <v>45785.6875</v>
      </c>
      <c r="D39" s="14">
        <f>YEAR(Tabela1[[#This Row],[Data de Fechamento]])</f>
        <v>2025</v>
      </c>
      <c r="E39" s="15" t="str">
        <f>PROPER(TEXT(Tabela1[[#This Row],[Data de Fechamento]],"mmmm"))</f>
        <v>Maio</v>
      </c>
      <c r="F39" s="15" t="s">
        <v>78</v>
      </c>
      <c r="G39" s="15" t="s">
        <v>79</v>
      </c>
      <c r="H39" s="15" t="s">
        <v>23</v>
      </c>
      <c r="I39" s="16">
        <v>400</v>
      </c>
      <c r="J39" s="16">
        <v>155</v>
      </c>
      <c r="K39" s="17">
        <f>(Tabela1[[#This Row],[Data de Fechamento]]-Tabela1[[#This Row],[Data de Abertura]])*24</f>
        <v>1.2500000000582077</v>
      </c>
      <c r="L39" s="16">
        <f t="shared" si="1"/>
        <v>555</v>
      </c>
    </row>
    <row r="40" spans="1:12" hidden="1" x14ac:dyDescent="0.3">
      <c r="A40" s="17" t="s">
        <v>46</v>
      </c>
      <c r="B40" s="13">
        <v>45809.333333333336</v>
      </c>
      <c r="C40" s="13">
        <v>45810.708333333336</v>
      </c>
      <c r="D40" s="14">
        <f>YEAR(Tabela1[[#This Row],[Data de Fechamento]])</f>
        <v>2025</v>
      </c>
      <c r="E40" s="15" t="str">
        <f>PROPER(TEXT(Tabela1[[#This Row],[Data de Fechamento]],"mmmm"))</f>
        <v>Junho</v>
      </c>
      <c r="F40" s="15" t="s">
        <v>46</v>
      </c>
      <c r="G40" s="15" t="s">
        <v>46</v>
      </c>
      <c r="H40" s="15" t="s">
        <v>7</v>
      </c>
      <c r="I40" s="16">
        <v>4200</v>
      </c>
      <c r="J40" s="16">
        <v>0</v>
      </c>
      <c r="K40" s="17">
        <f>(Tabela1[[#This Row],[Data de Fechamento]]-Tabela1[[#This Row],[Data de Abertura]])*24</f>
        <v>33</v>
      </c>
      <c r="L40" s="16">
        <f t="shared" si="1"/>
        <v>4200</v>
      </c>
    </row>
    <row r="41" spans="1:12" hidden="1" x14ac:dyDescent="0.3">
      <c r="A41" s="17" t="s">
        <v>46</v>
      </c>
      <c r="B41" s="13">
        <v>45809.333333333336</v>
      </c>
      <c r="C41" s="13">
        <v>45810.708333333336</v>
      </c>
      <c r="D41" s="14">
        <f>YEAR(Tabela1[[#This Row],[Data de Fechamento]])</f>
        <v>2025</v>
      </c>
      <c r="E41" s="15" t="str">
        <f>PROPER(TEXT(Tabela1[[#This Row],[Data de Fechamento]],"mmmm"))</f>
        <v>Junho</v>
      </c>
      <c r="F41" s="15" t="s">
        <v>48</v>
      </c>
      <c r="G41" s="15" t="s">
        <v>49</v>
      </c>
      <c r="H41" s="15" t="s">
        <v>22</v>
      </c>
      <c r="I41" s="16">
        <v>503.03</v>
      </c>
      <c r="J41" s="16">
        <v>0</v>
      </c>
      <c r="K41" s="17">
        <f>(Tabela1[[#This Row],[Data de Fechamento]]-Tabela1[[#This Row],[Data de Abertura]])*24</f>
        <v>33</v>
      </c>
      <c r="L41" s="16">
        <f t="shared" si="1"/>
        <v>503.03</v>
      </c>
    </row>
    <row r="42" spans="1:12" hidden="1" x14ac:dyDescent="0.3">
      <c r="A42" s="17" t="s">
        <v>46</v>
      </c>
      <c r="B42" s="13">
        <v>45839.333333333336</v>
      </c>
      <c r="C42" s="13">
        <v>45840.708333333336</v>
      </c>
      <c r="D42" s="14">
        <f>YEAR(Tabela1[[#This Row],[Data de Fechamento]])</f>
        <v>2025</v>
      </c>
      <c r="E42" s="15" t="str">
        <f>PROPER(TEXT(Tabela1[[#This Row],[Data de Fechamento]],"mmmm"))</f>
        <v>Julho</v>
      </c>
      <c r="F42" s="15" t="s">
        <v>46</v>
      </c>
      <c r="G42" s="15" t="s">
        <v>46</v>
      </c>
      <c r="H42" s="15" t="s">
        <v>7</v>
      </c>
      <c r="I42" s="16">
        <v>4200</v>
      </c>
      <c r="J42" s="16">
        <v>0</v>
      </c>
      <c r="K42" s="17">
        <f>(Tabela1[[#This Row],[Data de Fechamento]]-Tabela1[[#This Row],[Data de Abertura]])*24</f>
        <v>33</v>
      </c>
      <c r="L42" s="16">
        <f t="shared" si="1"/>
        <v>4200</v>
      </c>
    </row>
    <row r="43" spans="1:12" hidden="1" x14ac:dyDescent="0.3">
      <c r="A43" s="17" t="s">
        <v>46</v>
      </c>
      <c r="B43" s="13">
        <v>45870.291666666664</v>
      </c>
      <c r="C43" s="13">
        <v>45871.708333333336</v>
      </c>
      <c r="D43" s="14">
        <f>YEAR(Tabela1[[#This Row],[Data de Fechamento]])</f>
        <v>2025</v>
      </c>
      <c r="E43" s="15" t="str">
        <f>PROPER(TEXT(Tabela1[[#This Row],[Data de Fechamento]],"mmmm"))</f>
        <v>Agosto</v>
      </c>
      <c r="F43" s="15" t="s">
        <v>46</v>
      </c>
      <c r="G43" s="15" t="s">
        <v>46</v>
      </c>
      <c r="H43" s="15" t="s">
        <v>7</v>
      </c>
      <c r="I43" s="16">
        <v>2100</v>
      </c>
      <c r="J43" s="16">
        <v>0</v>
      </c>
      <c r="K43" s="17">
        <f>(Tabela1[[#This Row],[Data de Fechamento]]-Tabela1[[#This Row],[Data de Abertura]])*24</f>
        <v>34.000000000116415</v>
      </c>
      <c r="L43" s="16">
        <f t="shared" si="1"/>
        <v>2100</v>
      </c>
    </row>
    <row r="44" spans="1:12" hidden="1" x14ac:dyDescent="0.3">
      <c r="A44" s="17" t="s">
        <v>46</v>
      </c>
      <c r="B44" s="13">
        <v>45875.416666666664</v>
      </c>
      <c r="C44" s="13">
        <v>45876.583333333336</v>
      </c>
      <c r="D44" s="14">
        <f>YEAR(Tabela1[[#This Row],[Data de Fechamento]])</f>
        <v>2025</v>
      </c>
      <c r="E44" s="15" t="str">
        <f>PROPER(TEXT(Tabela1[[#This Row],[Data de Fechamento]],"mmmm"))</f>
        <v>Agosto</v>
      </c>
      <c r="F44" s="15" t="s">
        <v>20</v>
      </c>
      <c r="G44" s="15" t="s">
        <v>21</v>
      </c>
      <c r="H44" s="15" t="s">
        <v>23</v>
      </c>
      <c r="I44" s="16">
        <v>2372.14</v>
      </c>
      <c r="J44" s="16">
        <v>0</v>
      </c>
      <c r="K44" s="17">
        <f>(Tabela1[[#This Row],[Data de Fechamento]]-Tabela1[[#This Row],[Data de Abertura]])*24</f>
        <v>28.000000000116415</v>
      </c>
      <c r="L44" s="16">
        <f t="shared" si="1"/>
        <v>2372.14</v>
      </c>
    </row>
    <row r="45" spans="1:12" hidden="1" x14ac:dyDescent="0.3">
      <c r="A45" s="17" t="s">
        <v>46</v>
      </c>
      <c r="B45" s="13">
        <v>45901.291666666664</v>
      </c>
      <c r="C45" s="13">
        <v>45902.708333333336</v>
      </c>
      <c r="D45" s="14">
        <f>YEAR(Tabela1[[#This Row],[Data de Fechamento]])</f>
        <v>2025</v>
      </c>
      <c r="E45" s="15" t="str">
        <f>PROPER(TEXT(Tabela1[[#This Row],[Data de Fechamento]],"mmmm"))</f>
        <v>Setembro</v>
      </c>
      <c r="F45" s="15" t="s">
        <v>46</v>
      </c>
      <c r="G45" s="15" t="s">
        <v>46</v>
      </c>
      <c r="H45" s="15" t="s">
        <v>7</v>
      </c>
      <c r="I45" s="16">
        <v>1200</v>
      </c>
      <c r="J45" s="16">
        <v>0</v>
      </c>
      <c r="K45" s="17">
        <f>(Tabela1[[#This Row],[Data de Fechamento]]-Tabela1[[#This Row],[Data de Abertura]])*24</f>
        <v>34.000000000116415</v>
      </c>
      <c r="L45" s="16">
        <f t="shared" si="1"/>
        <v>1200</v>
      </c>
    </row>
    <row r="46" spans="1:12" hidden="1" x14ac:dyDescent="0.3">
      <c r="A46" s="17" t="s">
        <v>46</v>
      </c>
      <c r="B46" s="13">
        <v>45918.416666666664</v>
      </c>
      <c r="C46" s="13">
        <v>45918.583333333336</v>
      </c>
      <c r="D46" s="14">
        <f>YEAR(Tabela1[[#This Row],[Data de Fechamento]])</f>
        <v>2025</v>
      </c>
      <c r="E46" s="15" t="str">
        <f>PROPER(TEXT(Tabela1[[#This Row],[Data de Fechamento]],"mmmm"))</f>
        <v>Setembro</v>
      </c>
      <c r="F46" s="15" t="s">
        <v>51</v>
      </c>
      <c r="G46" s="15" t="s">
        <v>13</v>
      </c>
      <c r="H46" s="15" t="s">
        <v>22</v>
      </c>
      <c r="I46" s="16">
        <v>300</v>
      </c>
      <c r="J46" s="16">
        <v>0</v>
      </c>
      <c r="K46" s="17">
        <f>(Tabela1[[#This Row],[Data de Fechamento]]-Tabela1[[#This Row],[Data de Abertura]])*24</f>
        <v>4.0000000001164153</v>
      </c>
      <c r="L46" s="16">
        <f t="shared" si="1"/>
        <v>300</v>
      </c>
    </row>
    <row r="47" spans="1:12" hidden="1" x14ac:dyDescent="0.3">
      <c r="A47" s="17" t="s">
        <v>46</v>
      </c>
      <c r="B47" s="13">
        <v>45923.364583333336</v>
      </c>
      <c r="C47" s="13">
        <v>45923.493055555555</v>
      </c>
      <c r="D47" s="14">
        <f>YEAR(Tabela1[[#This Row],[Data de Fechamento]])</f>
        <v>2025</v>
      </c>
      <c r="E47" s="15" t="str">
        <f>PROPER(TEXT(Tabela1[[#This Row],[Data de Fechamento]],"mmmm"))</f>
        <v>Setembro</v>
      </c>
      <c r="F47" s="15" t="s">
        <v>48</v>
      </c>
      <c r="G47" s="15" t="s">
        <v>50</v>
      </c>
      <c r="H47" s="15" t="s">
        <v>23</v>
      </c>
      <c r="I47" s="16">
        <v>976.67</v>
      </c>
      <c r="J47" s="16">
        <v>0</v>
      </c>
      <c r="K47" s="17">
        <f>(Tabela1[[#This Row],[Data de Fechamento]]-Tabela1[[#This Row],[Data de Abertura]])*24</f>
        <v>3.0833333332557231</v>
      </c>
      <c r="L47" s="16">
        <f t="shared" si="1"/>
        <v>976.67</v>
      </c>
    </row>
    <row r="48" spans="1:12" hidden="1" x14ac:dyDescent="0.3">
      <c r="A48" s="17" t="s">
        <v>46</v>
      </c>
      <c r="B48" s="13">
        <v>45931.291666666664</v>
      </c>
      <c r="C48" s="13">
        <v>45932.708333333336</v>
      </c>
      <c r="D48" s="14">
        <f>YEAR(Tabela1[[#This Row],[Data de Fechamento]])</f>
        <v>2025</v>
      </c>
      <c r="E48" s="15" t="str">
        <f>PROPER(TEXT(Tabela1[[#This Row],[Data de Fechamento]],"mmmm"))</f>
        <v>Outubro</v>
      </c>
      <c r="F48" s="15" t="s">
        <v>46</v>
      </c>
      <c r="G48" s="15" t="s">
        <v>46</v>
      </c>
      <c r="H48" s="15" t="s">
        <v>7</v>
      </c>
      <c r="I48" s="16">
        <v>950</v>
      </c>
      <c r="J48" s="16">
        <v>0</v>
      </c>
      <c r="K48" s="17">
        <f>(Tabela1[[#This Row],[Data de Fechamento]]-Tabela1[[#This Row],[Data de Abertura]])*24</f>
        <v>34.000000000116415</v>
      </c>
      <c r="L48" s="16">
        <f t="shared" si="1"/>
        <v>950</v>
      </c>
    </row>
    <row r="49" spans="1:12" hidden="1" x14ac:dyDescent="0.3">
      <c r="A49" s="17" t="s">
        <v>46</v>
      </c>
      <c r="B49" s="13">
        <v>45946.375</v>
      </c>
      <c r="C49" s="13">
        <v>45947.416666666664</v>
      </c>
      <c r="D49" s="14">
        <f>YEAR(Tabela1[[#This Row],[Data de Fechamento]])</f>
        <v>2025</v>
      </c>
      <c r="E49" s="15" t="str">
        <f>PROPER(TEXT(Tabela1[[#This Row],[Data de Fechamento]],"mmmm"))</f>
        <v>Outubro</v>
      </c>
      <c r="F49" s="15" t="s">
        <v>20</v>
      </c>
      <c r="G49" s="15" t="s">
        <v>21</v>
      </c>
      <c r="H49" s="15" t="s">
        <v>23</v>
      </c>
      <c r="I49" s="16">
        <v>2372.13</v>
      </c>
      <c r="J49" s="16">
        <v>0</v>
      </c>
      <c r="K49" s="17">
        <f>(Tabela1[[#This Row],[Data de Fechamento]]-Tabela1[[#This Row],[Data de Abertura]])*24</f>
        <v>24.999999999941792</v>
      </c>
      <c r="L49" s="16">
        <f t="shared" si="1"/>
        <v>2372.13</v>
      </c>
    </row>
    <row r="50" spans="1:12" hidden="1" x14ac:dyDescent="0.3">
      <c r="A50" s="17" t="s">
        <v>46</v>
      </c>
      <c r="B50" s="13">
        <v>45988.395833333336</v>
      </c>
      <c r="C50" s="13">
        <v>45988.583333333336</v>
      </c>
      <c r="D50" s="14">
        <f>YEAR(Tabela1[[#This Row],[Data de Fechamento]])</f>
        <v>2025</v>
      </c>
      <c r="E50" s="15" t="str">
        <f>PROPER(TEXT(Tabela1[[#This Row],[Data de Fechamento]],"mmmm"))</f>
        <v>Novembro</v>
      </c>
      <c r="F50" s="15" t="s">
        <v>88</v>
      </c>
      <c r="G50" s="15" t="s">
        <v>46</v>
      </c>
      <c r="H50" s="15" t="s">
        <v>23</v>
      </c>
      <c r="I50" s="16">
        <v>1475</v>
      </c>
      <c r="J50" s="16">
        <v>300</v>
      </c>
      <c r="K50" s="17">
        <f>(Tabela1[[#This Row],[Data de Fechamento]]-Tabela1[[#This Row],[Data de Abertura]])*24</f>
        <v>4.5</v>
      </c>
      <c r="L50" s="16">
        <f t="shared" si="1"/>
        <v>1775</v>
      </c>
    </row>
    <row r="51" spans="1:12" x14ac:dyDescent="0.3">
      <c r="A51" s="17">
        <v>124</v>
      </c>
      <c r="B51" s="13">
        <v>46140.3125</v>
      </c>
      <c r="C51" s="13">
        <v>46140.479166666664</v>
      </c>
      <c r="D51" s="14">
        <f>YEAR(Tabela1[[#This Row],[Data de Fechamento]])</f>
        <v>2026</v>
      </c>
      <c r="E51" s="15" t="str">
        <f>PROPER(TEXT(Tabela1[[#This Row],[Data de Fechamento]],"mmmm"))</f>
        <v>Abril</v>
      </c>
      <c r="F51" s="15" t="s">
        <v>99</v>
      </c>
      <c r="G51" s="15" t="s">
        <v>79</v>
      </c>
      <c r="H51" s="15" t="s">
        <v>23</v>
      </c>
      <c r="I51" s="16">
        <v>100</v>
      </c>
      <c r="J51" s="16">
        <v>0</v>
      </c>
      <c r="K51" s="17">
        <f>(Tabela1[[#This Row],[Data de Fechamento]]-Tabela1[[#This Row],[Data de Abertura]])*24</f>
        <v>3.9999999999417923</v>
      </c>
      <c r="L51" s="16">
        <f t="shared" si="1"/>
        <v>100</v>
      </c>
    </row>
    <row r="52" spans="1:12" x14ac:dyDescent="0.3">
      <c r="A52" s="17">
        <v>125</v>
      </c>
      <c r="B52" s="13">
        <v>46146.5625</v>
      </c>
      <c r="C52" s="13">
        <v>46146.6875</v>
      </c>
      <c r="D52" s="14">
        <f>YEAR(Tabela1[[#This Row],[Data de Fechamento]])</f>
        <v>2026</v>
      </c>
      <c r="E52" s="15" t="str">
        <f>PROPER(TEXT(Tabela1[[#This Row],[Data de Fechamento]],"mmmm"))</f>
        <v>Maio</v>
      </c>
      <c r="F52" s="15" t="s">
        <v>96</v>
      </c>
      <c r="G52" s="15" t="s">
        <v>97</v>
      </c>
      <c r="H52" s="15" t="s">
        <v>22</v>
      </c>
      <c r="I52" s="16">
        <v>75</v>
      </c>
      <c r="J52" s="16">
        <v>0</v>
      </c>
      <c r="K52" s="17">
        <f>(Tabela1[[#This Row],[Data de Fechamento]]-Tabela1[[#This Row],[Data de Abertura]])*24</f>
        <v>3</v>
      </c>
      <c r="L52" s="16">
        <f t="shared" si="1"/>
        <v>75</v>
      </c>
    </row>
    <row r="53" spans="1:12" x14ac:dyDescent="0.3">
      <c r="A53" s="17">
        <v>126</v>
      </c>
      <c r="B53" s="13">
        <v>46147.333333333336</v>
      </c>
      <c r="C53" s="13">
        <v>46147.5</v>
      </c>
      <c r="D53" s="14">
        <f>YEAR(Tabela1[[#This Row],[Data de Fechamento]])</f>
        <v>2026</v>
      </c>
      <c r="E53" s="15" t="str">
        <f>PROPER(TEXT(Tabela1[[#This Row],[Data de Fechamento]],"mmmm"))</f>
        <v>Maio</v>
      </c>
      <c r="F53" s="15" t="s">
        <v>101</v>
      </c>
      <c r="G53" s="15" t="s">
        <v>98</v>
      </c>
      <c r="H53" s="15" t="s">
        <v>10</v>
      </c>
      <c r="I53" s="16">
        <v>100</v>
      </c>
      <c r="J53" s="16">
        <v>595.77</v>
      </c>
      <c r="K53" s="17">
        <f>(Tabela1[[#This Row],[Data de Fechamento]]-Tabela1[[#This Row],[Data de Abertura]])*24</f>
        <v>3.9999999999417923</v>
      </c>
      <c r="L53" s="16">
        <f t="shared" si="1"/>
        <v>695.77</v>
      </c>
    </row>
    <row r="54" spans="1:12" x14ac:dyDescent="0.3">
      <c r="A54" s="17">
        <v>127</v>
      </c>
      <c r="B54" s="13">
        <v>46148.333333333336</v>
      </c>
      <c r="C54" s="13">
        <v>46163.5</v>
      </c>
      <c r="D54" s="14">
        <f>YEAR(Tabela1[[#This Row],[Data de Fechamento]])</f>
        <v>2026</v>
      </c>
      <c r="E54" s="15" t="str">
        <f>PROPER(TEXT(Tabela1[[#This Row],[Data de Fechamento]],"mmmm"))</f>
        <v>Maio</v>
      </c>
      <c r="F54" s="15" t="s">
        <v>90</v>
      </c>
      <c r="G54" s="15" t="s">
        <v>91</v>
      </c>
      <c r="H54" s="15" t="s">
        <v>22</v>
      </c>
      <c r="I54" s="16">
        <v>875</v>
      </c>
      <c r="J54" s="16">
        <f>7126-Tabela1[[#This Row],[Custo_MO]]</f>
        <v>6251</v>
      </c>
      <c r="K54" s="17">
        <v>114</v>
      </c>
      <c r="L54" s="16">
        <f t="shared" si="1"/>
        <v>7126</v>
      </c>
    </row>
    <row r="55" spans="1:12" x14ac:dyDescent="0.3">
      <c r="A55" s="17">
        <v>128</v>
      </c>
      <c r="B55" s="13">
        <v>46153.625</v>
      </c>
      <c r="C55" s="13">
        <v>46154.5</v>
      </c>
      <c r="D55" s="14">
        <f>YEAR(Tabela1[[#This Row],[Data de Fechamento]])</f>
        <v>2026</v>
      </c>
      <c r="E55" s="15" t="str">
        <f>PROPER(TEXT(Tabela1[[#This Row],[Data de Fechamento]],"mmmm"))</f>
        <v>Maio</v>
      </c>
      <c r="F55" s="15" t="s">
        <v>99</v>
      </c>
      <c r="G55" s="15" t="s">
        <v>79</v>
      </c>
      <c r="H55" s="15" t="s">
        <v>22</v>
      </c>
      <c r="I55" s="16">
        <v>175</v>
      </c>
      <c r="J55" s="16">
        <v>0</v>
      </c>
      <c r="K55" s="17">
        <f>(Tabela1[[#This Row],[Data de Fechamento]]-Tabela1[[#This Row],[Data de Abertura]])*24</f>
        <v>21</v>
      </c>
      <c r="L55" s="16">
        <f t="shared" si="1"/>
        <v>175</v>
      </c>
    </row>
    <row r="56" spans="1:12" x14ac:dyDescent="0.3">
      <c r="A56" s="17">
        <v>129</v>
      </c>
      <c r="B56" s="13">
        <v>46162.583333333336</v>
      </c>
      <c r="C56" s="13">
        <v>46163.375</v>
      </c>
      <c r="D56" s="14">
        <f>YEAR(Tabela1[[#This Row],[Data de Fechamento]])</f>
        <v>2026</v>
      </c>
      <c r="E56" s="15" t="str">
        <f>PROPER(TEXT(Tabela1[[#This Row],[Data de Fechamento]],"mmmm"))</f>
        <v>Maio</v>
      </c>
      <c r="F56" s="15" t="s">
        <v>100</v>
      </c>
      <c r="G56" s="15" t="s">
        <v>93</v>
      </c>
      <c r="H56" s="15" t="s">
        <v>23</v>
      </c>
      <c r="I56" s="16">
        <v>125</v>
      </c>
      <c r="J56" s="16">
        <v>50</v>
      </c>
      <c r="K56" s="17">
        <f>(Tabela1[[#This Row],[Data de Fechamento]]-Tabela1[[#This Row],[Data de Abertura]])*24</f>
        <v>18.999999999941792</v>
      </c>
      <c r="L56" s="16">
        <f t="shared" si="1"/>
        <v>175</v>
      </c>
    </row>
  </sheetData>
  <dataValidations count="1">
    <dataValidation type="list" allowBlank="1" showInputMessage="1" showErrorMessage="1" sqref="H1:H1048576" xr:uid="{00000000-0002-0000-0000-000000000000}">
      <formula1>"Corretiva programada,Corretiva não programada,Preventiva,Preditiva,Melhoria"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="80" zoomScaleNormal="80" workbookViewId="0">
      <selection activeCell="F16" sqref="F16"/>
    </sheetView>
  </sheetViews>
  <sheetFormatPr defaultRowHeight="14.4" x14ac:dyDescent="0.3"/>
  <cols>
    <col min="1" max="1" width="24.44140625" bestFit="1" customWidth="1"/>
    <col min="2" max="2" width="24.33203125" bestFit="1" customWidth="1"/>
    <col min="3" max="3" width="39.5546875" bestFit="1" customWidth="1"/>
    <col min="4" max="4" width="37.33203125" bestFit="1" customWidth="1"/>
    <col min="5" max="5" width="31.109375" bestFit="1" customWidth="1"/>
    <col min="6" max="6" width="21.88671875" customWidth="1"/>
    <col min="7" max="7" width="22.5546875" customWidth="1"/>
    <col min="8" max="8" width="26" bestFit="1" customWidth="1"/>
    <col min="9" max="9" width="24.5546875" bestFit="1" customWidth="1"/>
    <col min="10" max="10" width="13.33203125" bestFit="1" customWidth="1"/>
    <col min="11" max="11" width="15.88671875" bestFit="1" customWidth="1"/>
  </cols>
  <sheetData>
    <row r="1" spans="1:11" ht="33" customHeight="1" x14ac:dyDescent="0.3">
      <c r="B1" s="37" t="s">
        <v>8</v>
      </c>
      <c r="C1" s="37"/>
      <c r="D1" s="21">
        <v>2025</v>
      </c>
      <c r="F1" s="27" t="s">
        <v>81</v>
      </c>
      <c r="G1" s="28">
        <v>5.0000000000000001E-3</v>
      </c>
    </row>
    <row r="2" spans="1:11" x14ac:dyDescent="0.3">
      <c r="B2" s="1" t="s">
        <v>37</v>
      </c>
      <c r="C2" s="1" t="s">
        <v>36</v>
      </c>
      <c r="D2" s="6" t="s">
        <v>38</v>
      </c>
    </row>
    <row r="3" spans="1:11" x14ac:dyDescent="0.3">
      <c r="B3" t="s">
        <v>22</v>
      </c>
      <c r="C3" s="2">
        <f>SUMIFS(Dados_OS!L:L,Dados_OS!H:H,Tabela5[[#This Row],[Tipo de manutenção]],Dados_OS!D:D,'Tratamento de Dados 2025'!$D$1)</f>
        <v>8507.5299999999988</v>
      </c>
      <c r="D3" s="5">
        <f>Tabela5[[#This Row],[Custo Total por tipo de manutenção (R$)]]/SUM(Tabela5[Custo Total por tipo de manutenção (R$)])</f>
        <v>0.17497144833892367</v>
      </c>
      <c r="E3" s="2"/>
    </row>
    <row r="4" spans="1:11" x14ac:dyDescent="0.3">
      <c r="B4" t="s">
        <v>23</v>
      </c>
      <c r="C4" s="2">
        <f>SUMIFS(Dados_OS!L:L,Dados_OS!H:H,Tabela5[[#This Row],[Tipo de manutenção]],Dados_OS!D:D,'Tratamento de Dados 2025'!$D$1)</f>
        <v>11285.86</v>
      </c>
      <c r="D4" s="5">
        <f>Tabela5[[#This Row],[Custo Total por tipo de manutenção (R$)]]/SUM(Tabela5[Custo Total por tipo de manutenção (R$)])</f>
        <v>0.23211240747318262</v>
      </c>
      <c r="E4" s="2"/>
    </row>
    <row r="5" spans="1:11" x14ac:dyDescent="0.3">
      <c r="B5" t="s">
        <v>7</v>
      </c>
      <c r="C5" s="2">
        <f>SUMIFS(Dados_OS!L:L,Dados_OS!H:H,Tabela5[[#This Row],[Tipo de manutenção]],Dados_OS!D:D,'Tratamento de Dados 2025'!$D$1)</f>
        <v>28829</v>
      </c>
      <c r="D5" s="5">
        <f>Tabela5[[#This Row],[Custo Total por tipo de manutenção (R$)]]/SUM(Tabela5[Custo Total por tipo de manutenção (R$)])</f>
        <v>0.59291614418789373</v>
      </c>
      <c r="E5" s="2"/>
    </row>
    <row r="6" spans="1:11" x14ac:dyDescent="0.3">
      <c r="B6" t="s">
        <v>9</v>
      </c>
      <c r="C6" s="2">
        <f>SUMIFS(Dados_OS!L:L,Dados_OS!H:H,Tabela5[[#This Row],[Tipo de manutenção]],Dados_OS!D:D,'Tratamento de Dados 2025'!$D$1)</f>
        <v>0</v>
      </c>
      <c r="D6" s="5">
        <f>Tabela5[[#This Row],[Custo Total por tipo de manutenção (R$)]]/SUM(Tabela5[Custo Total por tipo de manutenção (R$)])</f>
        <v>0</v>
      </c>
      <c r="E6" s="2"/>
    </row>
    <row r="7" spans="1:11" x14ac:dyDescent="0.3">
      <c r="B7" t="s">
        <v>10</v>
      </c>
      <c r="C7" s="2">
        <f>SUMIFS(Dados_OS!L:L,Dados_OS!H:H,Tabela5[[#This Row],[Tipo de manutenção]],Dados_OS!D:D,'Tratamento de Dados 2025'!$D$1)</f>
        <v>0</v>
      </c>
      <c r="D7" s="5">
        <f>Tabela5[[#This Row],[Custo Total por tipo de manutenção (R$)]]/SUM(Tabela5[Custo Total por tipo de manutenção (R$)])</f>
        <v>0</v>
      </c>
      <c r="E7" s="2"/>
    </row>
    <row r="8" spans="1:11" x14ac:dyDescent="0.3">
      <c r="D8" s="18">
        <f>SUM(D3:D7)</f>
        <v>1</v>
      </c>
      <c r="H8" s="23"/>
    </row>
    <row r="10" spans="1:11" s="3" customFormat="1" ht="33" customHeight="1" x14ac:dyDescent="0.3">
      <c r="A10" s="38" t="s">
        <v>25</v>
      </c>
      <c r="B10" s="38"/>
      <c r="C10" s="38"/>
      <c r="D10" s="38"/>
      <c r="E10" s="38"/>
      <c r="F10" s="38"/>
      <c r="G10" s="38"/>
      <c r="H10" s="38"/>
      <c r="I10" s="38"/>
      <c r="J10" s="38"/>
    </row>
    <row r="11" spans="1:11" s="3" customFormat="1" ht="28.8" x14ac:dyDescent="0.3">
      <c r="A11" s="4" t="s">
        <v>82</v>
      </c>
      <c r="B11" s="3" t="s">
        <v>39</v>
      </c>
      <c r="C11" s="3" t="s">
        <v>24</v>
      </c>
      <c r="D11" s="4" t="s">
        <v>22</v>
      </c>
      <c r="E11" s="4" t="s">
        <v>23</v>
      </c>
      <c r="F11" s="4" t="s">
        <v>7</v>
      </c>
      <c r="G11" s="4" t="s">
        <v>9</v>
      </c>
      <c r="H11" s="4" t="s">
        <v>47</v>
      </c>
      <c r="I11" s="4" t="s">
        <v>76</v>
      </c>
      <c r="J11" s="4" t="s">
        <v>77</v>
      </c>
      <c r="K11" s="4"/>
    </row>
    <row r="12" spans="1:11" x14ac:dyDescent="0.3">
      <c r="A12" s="16">
        <v>801322.87</v>
      </c>
      <c r="B12" s="14">
        <v>2025</v>
      </c>
      <c r="C12" s="14" t="s">
        <v>26</v>
      </c>
      <c r="D12" s="16">
        <f>SUMIFS(Tabela1[[Custo_Total]:[Custo_Total]],Tabela1[[Tipo_Manutencao]:[Tipo_Manutencao]],'Tratamento de Dados 2025'!D$11,Tabela1[[Mês Fechamento]:[Mês Fechamento]],'Tratamento de Dados 2025'!$C12,Tabela1[[Ano]:[Ano]],'Tratamento de Dados 2025'!$B12)</f>
        <v>0</v>
      </c>
      <c r="E12" s="16">
        <f>SUMIFS(Tabela1[[Custo_Total]:[Custo_Total]],Tabela1[[Tipo_Manutencao]:[Tipo_Manutencao]],'Tratamento de Dados 2025'!E$11,Tabela1[[Mês Fechamento]:[Mês Fechamento]],'Tratamento de Dados 2025'!$C12,Tabela1[[Ano]:[Ano]],'Tratamento de Dados 2025'!$B12)</f>
        <v>350</v>
      </c>
      <c r="F12" s="16">
        <f>SUMIFS(Tabela1[[Custo_Total]:[Custo_Total]],Tabela1[[Tipo_Manutencao]:[Tipo_Manutencao]],'Tratamento de Dados 2025'!F$11,Tabela1[[Mês Fechamento]:[Mês Fechamento]],'Tratamento de Dados 2025'!$C12,Tabela1[[Ano]:[Ano]],'Tratamento de Dados 2025'!$B12)</f>
        <v>3850</v>
      </c>
      <c r="G12" s="16">
        <f>SUMIFS(Tabela1[[Custo_Total]:[Custo_Total]],Tabela1[[Tipo_Manutencao]:[Tipo_Manutencao]],'Tratamento de Dados 2025'!G$11,Tabela1[[Mês Fechamento]:[Mês Fechamento]],'Tratamento de Dados 2025'!$C12,Tabela1[[Ano]:[Ano]],'Tratamento de Dados 2025'!$B12)</f>
        <v>0</v>
      </c>
      <c r="H12" s="16">
        <f>SUMIFS(Tabela1[[Custo_Total]:[Custo_Total]],Tabela1[[Tipo_Manutencao]:[Tipo_Manutencao]],'Tratamento de Dados 2025'!H$11,Tabela1[[Mês Fechamento]:[Mês Fechamento]],'Tratamento de Dados 2025'!$C12,Tabela1[[Ano]:[Ano]],'Tratamento de Dados 2025'!$B12)</f>
        <v>0</v>
      </c>
      <c r="I12" s="36">
        <f>Tabela4[[#This Row],[Faturemento Mensal]]*$G$1</f>
        <v>4006.6143500000003</v>
      </c>
      <c r="J12" s="16">
        <f>SUM(Tabela4[[#This Row],[Corretiva não programada]:[Melhoria de Máquinas]])</f>
        <v>4200</v>
      </c>
      <c r="K12" s="2"/>
    </row>
    <row r="13" spans="1:11" x14ac:dyDescent="0.3">
      <c r="A13" s="16">
        <v>1311185.73</v>
      </c>
      <c r="B13" s="14">
        <v>2025</v>
      </c>
      <c r="C13" s="14" t="s">
        <v>27</v>
      </c>
      <c r="D13" s="16">
        <f>SUMIFS(Tabela1[[Custo_Total]:[Custo_Total]],Tabela1[[Tipo_Manutencao]:[Tipo_Manutencao]],'Tratamento de Dados 2025'!D$11,Tabela1[[Mês Fechamento]:[Mês Fechamento]],'Tratamento de Dados 2025'!$C13,Tabela1[[Ano]:[Ano]],'Tratamento de Dados 2025'!$B13)</f>
        <v>1033</v>
      </c>
      <c r="E13" s="16">
        <f>SUMIFS(Tabela1[[Custo_Total]:[Custo_Total]],Tabela1[[Tipo_Manutencao]:[Tipo_Manutencao]],'Tratamento de Dados 2025'!E$11,Tabela1[[Mês Fechamento]:[Mês Fechamento]],'Tratamento de Dados 2025'!$C13,Tabela1[[Ano]:[Ano]],'Tratamento de Dados 2025'!$B13)</f>
        <v>0</v>
      </c>
      <c r="F13" s="16">
        <f>SUMIFS(Tabela1[[Custo_Total]:[Custo_Total]],Tabela1[[Tipo_Manutencao]:[Tipo_Manutencao]],'Tratamento de Dados 2025'!F$11,Tabela1[[Mês Fechamento]:[Mês Fechamento]],'Tratamento de Dados 2025'!$C13,Tabela1[[Ano]:[Ano]],'Tratamento de Dados 2025'!$B13)</f>
        <v>3167</v>
      </c>
      <c r="G13" s="16">
        <f>SUMIFS(Tabela1[[Custo_Total]:[Custo_Total]],Tabela1[[Tipo_Manutencao]:[Tipo_Manutencao]],'Tratamento de Dados 2025'!G$11,Tabela1[[Mês Fechamento]:[Mês Fechamento]],'Tratamento de Dados 2025'!$C13,Tabela1[[Ano]:[Ano]],'Tratamento de Dados 2025'!$B13)</f>
        <v>0</v>
      </c>
      <c r="H13" s="16">
        <f>SUMIFS(Tabela1[[Custo_Total]:[Custo_Total]],Tabela1[[Tipo_Manutencao]:[Tipo_Manutencao]],'Tratamento de Dados 2025'!H$11,Tabela1[[Mês Fechamento]:[Mês Fechamento]],'Tratamento de Dados 2025'!$C13,Tabela1[[Ano]:[Ano]],'Tratamento de Dados 2025'!$B13)</f>
        <v>0</v>
      </c>
      <c r="I13" s="36">
        <f>Tabela4[[#This Row],[Faturemento Mensal]]*$G$1</f>
        <v>6555.9286499999998</v>
      </c>
      <c r="J13" s="16">
        <f>SUM(Tabela4[[#This Row],[Corretiva não programada]:[Melhoria de Máquinas]])</f>
        <v>4200</v>
      </c>
      <c r="K13" s="2"/>
    </row>
    <row r="14" spans="1:11" x14ac:dyDescent="0.3">
      <c r="A14" s="16">
        <v>1030344.22</v>
      </c>
      <c r="B14" s="14">
        <v>2025</v>
      </c>
      <c r="C14" s="14" t="s">
        <v>58</v>
      </c>
      <c r="D14" s="16">
        <f>SUMIFS(Tabela1[[Custo_Total]:[Custo_Total]],Tabela1[[Tipo_Manutencao]:[Tipo_Manutencao]],'Tratamento de Dados 2025'!D$11,Tabela1[[Mês Fechamento]:[Mês Fechamento]],'Tratamento de Dados 2025'!$C14,Tabela1[[Ano]:[Ano]],'Tratamento de Dados 2025'!$B14)</f>
        <v>1533.23</v>
      </c>
      <c r="E14" s="16">
        <f>SUMIFS(Tabela1[[Custo_Total]:[Custo_Total]],Tabela1[[Tipo_Manutencao]:[Tipo_Manutencao]],'Tratamento de Dados 2025'!E$11,Tabela1[[Mês Fechamento]:[Mês Fechamento]],'Tratamento de Dados 2025'!$C14,Tabela1[[Ano]:[Ano]],'Tratamento de Dados 2025'!$B14)</f>
        <v>500</v>
      </c>
      <c r="F14" s="16">
        <f>SUMIFS(Tabela1[[Custo_Total]:[Custo_Total]],Tabela1[[Tipo_Manutencao]:[Tipo_Manutencao]],'Tratamento de Dados 2025'!F$11,Tabela1[[Mês Fechamento]:[Mês Fechamento]],'Tratamento de Dados 2025'!$C14,Tabela1[[Ano]:[Ano]],'Tratamento de Dados 2025'!$B14)</f>
        <v>2700</v>
      </c>
      <c r="G14" s="16">
        <f>SUMIFS(Tabela1[[Custo_Total]:[Custo_Total]],Tabela1[[Tipo_Manutencao]:[Tipo_Manutencao]],'Tratamento de Dados 2025'!G$11,Tabela1[[Mês Fechamento]:[Mês Fechamento]],'Tratamento de Dados 2025'!$C14,Tabela1[[Ano]:[Ano]],'Tratamento de Dados 2025'!$B14)</f>
        <v>0</v>
      </c>
      <c r="H14" s="16">
        <f>SUMIFS(Tabela1[[Custo_Total]:[Custo_Total]],Tabela1[[Tipo_Manutencao]:[Tipo_Manutencao]],'Tratamento de Dados 2025'!H$11,Tabela1[[Mês Fechamento]:[Mês Fechamento]],'Tratamento de Dados 2025'!$C14,Tabela1[[Ano]:[Ano]],'Tratamento de Dados 2025'!$B14)</f>
        <v>0</v>
      </c>
      <c r="I14" s="36">
        <f>Tabela4[[#This Row],[Faturemento Mensal]]*$G$1</f>
        <v>5151.7210999999998</v>
      </c>
      <c r="J14" s="16">
        <f>SUM(Tabela4[[#This Row],[Corretiva não programada]:[Melhoria de Máquinas]])</f>
        <v>4733.2299999999996</v>
      </c>
      <c r="K14" s="2"/>
    </row>
    <row r="15" spans="1:11" x14ac:dyDescent="0.3">
      <c r="A15" s="16">
        <v>761326.55</v>
      </c>
      <c r="B15" s="14">
        <v>2025</v>
      </c>
      <c r="C15" s="14" t="s">
        <v>59</v>
      </c>
      <c r="D15" s="16">
        <f>SUMIFS(Tabela1[[Custo_Total]:[Custo_Total]],Tabela1[[Tipo_Manutencao]:[Tipo_Manutencao]],'Tratamento de Dados 2025'!D$11,Tabela1[[Mês Fechamento]:[Mês Fechamento]],'Tratamento de Dados 2025'!$C15,Tabela1[[Ano]:[Ano]],'Tratamento de Dados 2025'!$B15)</f>
        <v>0</v>
      </c>
      <c r="E15" s="16">
        <f>SUMIFS(Tabela1[[Custo_Total]:[Custo_Total]],Tabela1[[Tipo_Manutencao]:[Tipo_Manutencao]],'Tratamento de Dados 2025'!E$11,Tabela1[[Mês Fechamento]:[Mês Fechamento]],'Tratamento de Dados 2025'!$C15,Tabela1[[Ano]:[Ano]],'Tratamento de Dados 2025'!$B15)</f>
        <v>626.72</v>
      </c>
      <c r="F15" s="16">
        <f>SUMIFS(Tabela1[[Custo_Total]:[Custo_Total]],Tabela1[[Tipo_Manutencao]:[Tipo_Manutencao]],'Tratamento de Dados 2025'!F$11,Tabela1[[Mês Fechamento]:[Mês Fechamento]],'Tratamento de Dados 2025'!$C15,Tabela1[[Ano]:[Ano]],'Tratamento de Dados 2025'!$B15)</f>
        <v>2775</v>
      </c>
      <c r="G15" s="16">
        <f>SUMIFS(Tabela1[[Custo_Total]:[Custo_Total]],Tabela1[[Tipo_Manutencao]:[Tipo_Manutencao]],'Tratamento de Dados 2025'!G$11,Tabela1[[Mês Fechamento]:[Mês Fechamento]],'Tratamento de Dados 2025'!$C15,Tabela1[[Ano]:[Ano]],'Tratamento de Dados 2025'!$B15)</f>
        <v>0</v>
      </c>
      <c r="H15" s="16">
        <f>SUMIFS(Tabela1[[Custo_Total]:[Custo_Total]],Tabela1[[Tipo_Manutencao]:[Tipo_Manutencao]],'Tratamento de Dados 2025'!H$11,Tabela1[[Mês Fechamento]:[Mês Fechamento]],'Tratamento de Dados 2025'!$C15,Tabela1[[Ano]:[Ano]],'Tratamento de Dados 2025'!$B15)</f>
        <v>0</v>
      </c>
      <c r="I15" s="36">
        <f>Tabela4[[#This Row],[Faturemento Mensal]]*$G$1</f>
        <v>3806.6327500000002</v>
      </c>
      <c r="J15" s="16">
        <f>SUM(Tabela4[[#This Row],[Corretiva não programada]:[Melhoria de Máquinas]])</f>
        <v>3401.7200000000003</v>
      </c>
      <c r="K15" s="2"/>
    </row>
    <row r="16" spans="1:11" x14ac:dyDescent="0.3">
      <c r="A16" s="16">
        <v>1605718.99</v>
      </c>
      <c r="B16" s="14">
        <v>2025</v>
      </c>
      <c r="C16" s="14" t="s">
        <v>60</v>
      </c>
      <c r="D16" s="16">
        <f>SUMIFS(Tabela1[[Custo_Total]:[Custo_Total]],Tabela1[[Tipo_Manutencao]:[Tipo_Manutencao]],'Tratamento de Dados 2025'!D$11,Tabela1[[Mês Fechamento]:[Mês Fechamento]],'Tratamento de Dados 2025'!$C16,Tabela1[[Ano]:[Ano]],'Tratamento de Dados 2025'!$B16)</f>
        <v>2820.65</v>
      </c>
      <c r="E16" s="16">
        <f>SUMIFS(Tabela1[[Custo_Total]:[Custo_Total]],Tabela1[[Tipo_Manutencao]:[Tipo_Manutencao]],'Tratamento de Dados 2025'!E$11,Tabela1[[Mês Fechamento]:[Mês Fechamento]],'Tratamento de Dados 2025'!$C16,Tabela1[[Ano]:[Ano]],'Tratamento de Dados 2025'!$B16)</f>
        <v>555</v>
      </c>
      <c r="F16" s="16">
        <f>SUMIFS(Tabela1[[Custo_Total]:[Custo_Total]],Tabela1[[Tipo_Manutencao]:[Tipo_Manutencao]],'Tratamento de Dados 2025'!F$11,Tabela1[[Mês Fechamento]:[Mês Fechamento]],'Tratamento de Dados 2025'!$C16,Tabela1[[Ano]:[Ano]],'Tratamento de Dados 2025'!$B16)</f>
        <v>3687</v>
      </c>
      <c r="G16" s="16">
        <f>SUMIFS(Tabela1[[Custo_Total]:[Custo_Total]],Tabela1[[Tipo_Manutencao]:[Tipo_Manutencao]],'Tratamento de Dados 2025'!G$11,Tabela1[[Mês Fechamento]:[Mês Fechamento]],'Tratamento de Dados 2025'!$C16,Tabela1[[Ano]:[Ano]],'Tratamento de Dados 2025'!$B16)</f>
        <v>0</v>
      </c>
      <c r="H16" s="16">
        <f>SUMIFS(Tabela1[[Custo_Total]:[Custo_Total]],Tabela1[[Tipo_Manutencao]:[Tipo_Manutencao]],'Tratamento de Dados 2025'!H$11,Tabela1[[Mês Fechamento]:[Mês Fechamento]],'Tratamento de Dados 2025'!$C16,Tabela1[[Ano]:[Ano]],'Tratamento de Dados 2025'!$B16)</f>
        <v>0</v>
      </c>
      <c r="I16" s="36">
        <f>Tabela4[[#This Row],[Faturemento Mensal]]*$G$1</f>
        <v>8028.5949499999997</v>
      </c>
      <c r="J16" s="16">
        <f>SUM(Tabela4[[#This Row],[Corretiva não programada]:[Melhoria de Máquinas]])</f>
        <v>7062.65</v>
      </c>
      <c r="K16" s="2"/>
    </row>
    <row r="17" spans="1:11" x14ac:dyDescent="0.3">
      <c r="A17" s="16">
        <v>1219442.79</v>
      </c>
      <c r="B17" s="14">
        <v>2025</v>
      </c>
      <c r="C17" s="14" t="s">
        <v>28</v>
      </c>
      <c r="D17" s="16">
        <f>SUMIFS(Tabela1[[Custo_Total]:[Custo_Total]],Tabela1[[Tipo_Manutencao]:[Tipo_Manutencao]],'Tratamento de Dados 2025'!D$11,Tabela1[[Mês Fechamento]:[Mês Fechamento]],'Tratamento de Dados 2025'!$C17,Tabela1[[Ano]:[Ano]],'Tratamento de Dados 2025'!$B17)</f>
        <v>503.03</v>
      </c>
      <c r="E17" s="16">
        <f>SUMIFS(Tabela1[[Custo_Total]:[Custo_Total]],Tabela1[[Tipo_Manutencao]:[Tipo_Manutencao]],'Tratamento de Dados 2025'!E$11,Tabela1[[Mês Fechamento]:[Mês Fechamento]],'Tratamento de Dados 2025'!$C17,Tabela1[[Ano]:[Ano]],'Tratamento de Dados 2025'!$B17)</f>
        <v>0</v>
      </c>
      <c r="F17" s="16">
        <f>SUMIFS(Tabela1[[Custo_Total]:[Custo_Total]],Tabela1[[Tipo_Manutencao]:[Tipo_Manutencao]],'Tratamento de Dados 2025'!F$11,Tabela1[[Mês Fechamento]:[Mês Fechamento]],'Tratamento de Dados 2025'!$C17,Tabela1[[Ano]:[Ano]],'Tratamento de Dados 2025'!$B17)</f>
        <v>4200</v>
      </c>
      <c r="G17" s="16">
        <f>SUMIFS(Tabela1[[Custo_Total]:[Custo_Total]],Tabela1[[Tipo_Manutencao]:[Tipo_Manutencao]],'Tratamento de Dados 2025'!G$11,Tabela1[[Mês Fechamento]:[Mês Fechamento]],'Tratamento de Dados 2025'!$C17,Tabela1[[Ano]:[Ano]],'Tratamento de Dados 2025'!$B17)</f>
        <v>0</v>
      </c>
      <c r="H17" s="16">
        <f>SUMIFS(Tabela1[[Custo_Total]:[Custo_Total]],Tabela1[[Tipo_Manutencao]:[Tipo_Manutencao]],'Tratamento de Dados 2025'!H$11,Tabela1[[Mês Fechamento]:[Mês Fechamento]],'Tratamento de Dados 2025'!$C17,Tabela1[[Ano]:[Ano]],'Tratamento de Dados 2025'!$B17)</f>
        <v>0</v>
      </c>
      <c r="I17" s="36">
        <f>Tabela4[[#This Row],[Faturemento Mensal]]*$G$1</f>
        <v>6097.2139500000003</v>
      </c>
      <c r="J17" s="16">
        <f>SUM(Tabela4[[#This Row],[Corretiva não programada]:[Melhoria de Máquinas]])</f>
        <v>4703.03</v>
      </c>
      <c r="K17" s="2"/>
    </row>
    <row r="18" spans="1:11" x14ac:dyDescent="0.3">
      <c r="A18" s="16">
        <v>886919.59000000008</v>
      </c>
      <c r="B18" s="14">
        <v>2025</v>
      </c>
      <c r="C18" s="14" t="s">
        <v>29</v>
      </c>
      <c r="D18" s="16">
        <f>SUMIFS(Tabela1[[Custo_Total]:[Custo_Total]],Tabela1[[Tipo_Manutencao]:[Tipo_Manutencao]],'Tratamento de Dados 2025'!D$11,Tabela1[[Mês Fechamento]:[Mês Fechamento]],'Tratamento de Dados 2025'!$C18,Tabela1[[Ano]:[Ano]],'Tratamento de Dados 2025'!$B18)</f>
        <v>0</v>
      </c>
      <c r="E18" s="16">
        <f>SUMIFS(Tabela1[[Custo_Total]:[Custo_Total]],Tabela1[[Tipo_Manutencao]:[Tipo_Manutencao]],'Tratamento de Dados 2025'!E$11,Tabela1[[Mês Fechamento]:[Mês Fechamento]],'Tratamento de Dados 2025'!$C18,Tabela1[[Ano]:[Ano]],'Tratamento de Dados 2025'!$B18)</f>
        <v>0</v>
      </c>
      <c r="F18" s="16">
        <f>SUMIFS(Tabela1[[Custo_Total]:[Custo_Total]],Tabela1[[Tipo_Manutencao]:[Tipo_Manutencao]],'Tratamento de Dados 2025'!F$11,Tabela1[[Mês Fechamento]:[Mês Fechamento]],'Tratamento de Dados 2025'!$C18,Tabela1[[Ano]:[Ano]],'Tratamento de Dados 2025'!$B18)</f>
        <v>4200</v>
      </c>
      <c r="G18" s="16">
        <f>SUMIFS(Tabela1[[Custo_Total]:[Custo_Total]],Tabela1[[Tipo_Manutencao]:[Tipo_Manutencao]],'Tratamento de Dados 2025'!G$11,Tabela1[[Mês Fechamento]:[Mês Fechamento]],'Tratamento de Dados 2025'!$C18,Tabela1[[Ano]:[Ano]],'Tratamento de Dados 2025'!$B18)</f>
        <v>0</v>
      </c>
      <c r="H18" s="16">
        <f>SUMIFS(Tabela1[[Custo_Total]:[Custo_Total]],Tabela1[[Tipo_Manutencao]:[Tipo_Manutencao]],'Tratamento de Dados 2025'!H$11,Tabela1[[Mês Fechamento]:[Mês Fechamento]],'Tratamento de Dados 2025'!$C18,Tabela1[[Ano]:[Ano]],'Tratamento de Dados 2025'!$B18)</f>
        <v>0</v>
      </c>
      <c r="I18" s="36">
        <f>Tabela4[[#This Row],[Faturemento Mensal]]*$G$1</f>
        <v>4434.5979500000003</v>
      </c>
      <c r="J18" s="16">
        <f>SUM(Tabela4[[#This Row],[Corretiva não programada]:[Melhoria de Máquinas]])</f>
        <v>4200</v>
      </c>
      <c r="K18" s="2"/>
    </row>
    <row r="19" spans="1:11" x14ac:dyDescent="0.3">
      <c r="A19" s="16">
        <v>836445.73999999987</v>
      </c>
      <c r="B19" s="14">
        <v>2025</v>
      </c>
      <c r="C19" s="14" t="s">
        <v>30</v>
      </c>
      <c r="D19" s="16">
        <f>SUMIFS(Tabela1[[Custo_Total]:[Custo_Total]],Tabela1[[Tipo_Manutencao]:[Tipo_Manutencao]],'Tratamento de Dados 2025'!D$11,Tabela1[[Mês Fechamento]:[Mês Fechamento]],'Tratamento de Dados 2025'!$C19,Tabela1[[Ano]:[Ano]],'Tratamento de Dados 2025'!$B19)</f>
        <v>0</v>
      </c>
      <c r="E19" s="16">
        <f>SUMIFS(Tabela1[[Custo_Total]:[Custo_Total]],Tabela1[[Tipo_Manutencao]:[Tipo_Manutencao]],'Tratamento de Dados 2025'!E$11,Tabela1[[Mês Fechamento]:[Mês Fechamento]],'Tratamento de Dados 2025'!$C19,Tabela1[[Ano]:[Ano]],'Tratamento de Dados 2025'!$B19)</f>
        <v>2372.14</v>
      </c>
      <c r="F19" s="16">
        <f>SUMIFS(Tabela1[[Custo_Total]:[Custo_Total]],Tabela1[[Tipo_Manutencao]:[Tipo_Manutencao]],'Tratamento de Dados 2025'!F$11,Tabela1[[Mês Fechamento]:[Mês Fechamento]],'Tratamento de Dados 2025'!$C19,Tabela1[[Ano]:[Ano]],'Tratamento de Dados 2025'!$B19)</f>
        <v>2100</v>
      </c>
      <c r="G19" s="16">
        <f>SUMIFS(Tabela1[[Custo_Total]:[Custo_Total]],Tabela1[[Tipo_Manutencao]:[Tipo_Manutencao]],'Tratamento de Dados 2025'!G$11,Tabela1[[Mês Fechamento]:[Mês Fechamento]],'Tratamento de Dados 2025'!$C19,Tabela1[[Ano]:[Ano]],'Tratamento de Dados 2025'!$B19)</f>
        <v>0</v>
      </c>
      <c r="H19" s="16">
        <f>SUMIFS(Tabela1[[Custo_Total]:[Custo_Total]],Tabela1[[Tipo_Manutencao]:[Tipo_Manutencao]],'Tratamento de Dados 2025'!H$11,Tabela1[[Mês Fechamento]:[Mês Fechamento]],'Tratamento de Dados 2025'!$C19,Tabela1[[Ano]:[Ano]],'Tratamento de Dados 2025'!$B19)</f>
        <v>0</v>
      </c>
      <c r="I19" s="36">
        <f>Tabela4[[#This Row],[Faturemento Mensal]]*$G$1</f>
        <v>4182.2286999999997</v>
      </c>
      <c r="J19" s="16">
        <f>SUM(Tabela4[[#This Row],[Corretiva não programada]:[Melhoria de Máquinas]])</f>
        <v>4472.1399999999994</v>
      </c>
      <c r="K19" s="2"/>
    </row>
    <row r="20" spans="1:11" x14ac:dyDescent="0.3">
      <c r="A20" s="16">
        <v>635862.29</v>
      </c>
      <c r="B20" s="14">
        <v>2025</v>
      </c>
      <c r="C20" s="14" t="s">
        <v>31</v>
      </c>
      <c r="D20" s="16">
        <f>SUMIFS(Tabela1[[Custo_Total]:[Custo_Total]],Tabela1[[Tipo_Manutencao]:[Tipo_Manutencao]],'Tratamento de Dados 2025'!D$11,Tabela1[[Mês Fechamento]:[Mês Fechamento]],'Tratamento de Dados 2025'!$C20,Tabela1[[Ano]:[Ano]],'Tratamento de Dados 2025'!$B20)</f>
        <v>300</v>
      </c>
      <c r="E20" s="16">
        <f>SUMIFS(Tabela1[[Custo_Total]:[Custo_Total]],Tabela1[[Tipo_Manutencao]:[Tipo_Manutencao]],'Tratamento de Dados 2025'!E$11,Tabela1[[Mês Fechamento]:[Mês Fechamento]],'Tratamento de Dados 2025'!$C20,Tabela1[[Ano]:[Ano]],'Tratamento de Dados 2025'!$B20)</f>
        <v>976.67</v>
      </c>
      <c r="F20" s="16">
        <f>SUMIFS(Tabela1[[Custo_Total]:[Custo_Total]],Tabela1[[Tipo_Manutencao]:[Tipo_Manutencao]],'Tratamento de Dados 2025'!F$11,Tabela1[[Mês Fechamento]:[Mês Fechamento]],'Tratamento de Dados 2025'!$C20,Tabela1[[Ano]:[Ano]],'Tratamento de Dados 2025'!$B20)</f>
        <v>1200</v>
      </c>
      <c r="G20" s="16">
        <f>SUMIFS(Tabela1[[Custo_Total]:[Custo_Total]],Tabela1[[Tipo_Manutencao]:[Tipo_Manutencao]],'Tratamento de Dados 2025'!G$11,Tabela1[[Mês Fechamento]:[Mês Fechamento]],'Tratamento de Dados 2025'!$C20,Tabela1[[Ano]:[Ano]],'Tratamento de Dados 2025'!$B20)</f>
        <v>0</v>
      </c>
      <c r="H20" s="16">
        <f>SUMIFS(Tabela1[[Custo_Total]:[Custo_Total]],Tabela1[[Tipo_Manutencao]:[Tipo_Manutencao]],'Tratamento de Dados 2025'!H$11,Tabela1[[Mês Fechamento]:[Mês Fechamento]],'Tratamento de Dados 2025'!$C20,Tabela1[[Ano]:[Ano]],'Tratamento de Dados 2025'!$B20)</f>
        <v>0</v>
      </c>
      <c r="I20" s="36">
        <f>Tabela4[[#This Row],[Faturemento Mensal]]*$G$1</f>
        <v>3179.3114500000001</v>
      </c>
      <c r="J20" s="16">
        <f>SUM(Tabela4[[#This Row],[Corretiva não programada]:[Melhoria de Máquinas]])</f>
        <v>2476.67</v>
      </c>
      <c r="K20" s="2"/>
    </row>
    <row r="21" spans="1:11" x14ac:dyDescent="0.3">
      <c r="A21" s="16">
        <v>753559.98</v>
      </c>
      <c r="B21" s="14">
        <v>2025</v>
      </c>
      <c r="C21" s="14" t="s">
        <v>32</v>
      </c>
      <c r="D21" s="16">
        <f>SUMIFS(Tabela1[[Custo_Total]:[Custo_Total]],Tabela1[[Tipo_Manutencao]:[Tipo_Manutencao]],'Tratamento de Dados 2025'!D$11,Tabela1[[Mês Fechamento]:[Mês Fechamento]],'Tratamento de Dados 2025'!$C21,Tabela1[[Ano]:[Ano]],'Tratamento de Dados 2025'!$B21)</f>
        <v>0</v>
      </c>
      <c r="E21" s="16">
        <f>SUMIFS(Tabela1[[Custo_Total]:[Custo_Total]],Tabela1[[Tipo_Manutencao]:[Tipo_Manutencao]],'Tratamento de Dados 2025'!E$11,Tabela1[[Mês Fechamento]:[Mês Fechamento]],'Tratamento de Dados 2025'!$C21,Tabela1[[Ano]:[Ano]],'Tratamento de Dados 2025'!$B21)</f>
        <v>2372.13</v>
      </c>
      <c r="F21" s="16">
        <f>SUMIFS(Tabela1[[Custo_Total]:[Custo_Total]],Tabela1[[Tipo_Manutencao]:[Tipo_Manutencao]],'Tratamento de Dados 2025'!F$11,Tabela1[[Mês Fechamento]:[Mês Fechamento]],'Tratamento de Dados 2025'!$C21,Tabela1[[Ano]:[Ano]],'Tratamento de Dados 2025'!$B21)</f>
        <v>950</v>
      </c>
      <c r="G21" s="16">
        <f>SUMIFS(Tabela1[[Custo_Total]:[Custo_Total]],Tabela1[[Tipo_Manutencao]:[Tipo_Manutencao]],'Tratamento de Dados 2025'!G$11,Tabela1[[Mês Fechamento]:[Mês Fechamento]],'Tratamento de Dados 2025'!$C21,Tabela1[[Ano]:[Ano]],'Tratamento de Dados 2025'!$B21)</f>
        <v>0</v>
      </c>
      <c r="H21" s="16">
        <f>SUMIFS(Tabela1[[Custo_Total]:[Custo_Total]],Tabela1[[Tipo_Manutencao]:[Tipo_Manutencao]],'Tratamento de Dados 2025'!H$11,Tabela1[[Mês Fechamento]:[Mês Fechamento]],'Tratamento de Dados 2025'!$C21,Tabela1[[Ano]:[Ano]],'Tratamento de Dados 2025'!$B21)</f>
        <v>0</v>
      </c>
      <c r="I21" s="36">
        <f>Tabela4[[#This Row],[Faturemento Mensal]]*$G$1</f>
        <v>3767.7999</v>
      </c>
      <c r="J21" s="16">
        <f>SUM(Tabela4[[#This Row],[Corretiva não programada]:[Melhoria de Máquinas]])</f>
        <v>3322.13</v>
      </c>
      <c r="K21" s="2"/>
    </row>
    <row r="22" spans="1:11" x14ac:dyDescent="0.3">
      <c r="A22" s="16">
        <v>518347.47</v>
      </c>
      <c r="B22" s="14">
        <v>2025</v>
      </c>
      <c r="C22" s="14" t="s">
        <v>33</v>
      </c>
      <c r="D22" s="16">
        <f>SUMIFS(Tabela1[[Custo_Total]:[Custo_Total]],Tabela1[[Tipo_Manutencao]:[Tipo_Manutencao]],'Tratamento de Dados 2025'!D$11,Tabela1[[Mês Fechamento]:[Mês Fechamento]],'Tratamento de Dados 2025'!$C22,Tabela1[[Ano]:[Ano]],'Tratamento de Dados 2025'!$B22)</f>
        <v>500</v>
      </c>
      <c r="E22" s="16">
        <f>SUMIFS(Tabela1[[Custo_Total]:[Custo_Total]],Tabela1[[Tipo_Manutencao]:[Tipo_Manutencao]],'Tratamento de Dados 2025'!E$11,Tabela1[[Mês Fechamento]:[Mês Fechamento]],'Tratamento de Dados 2025'!$C22,Tabela1[[Ano]:[Ano]],'Tratamento de Dados 2025'!$B22)</f>
        <v>1775</v>
      </c>
      <c r="F22" s="16">
        <f>SUMIFS(Tabela1[[Custo_Total]:[Custo_Total]],Tabela1[[Tipo_Manutencao]:[Tipo_Manutencao]],'Tratamento de Dados 2025'!F$11,Tabela1[[Mês Fechamento]:[Mês Fechamento]],'Tratamento de Dados 2025'!$C22,Tabela1[[Ano]:[Ano]],'Tratamento de Dados 2025'!$B22)</f>
        <v>0</v>
      </c>
      <c r="G22" s="16">
        <f>SUMIFS(Tabela1[[Custo_Total]:[Custo_Total]],Tabela1[[Tipo_Manutencao]:[Tipo_Manutencao]],'Tratamento de Dados 2025'!G$11,Tabela1[[Mês Fechamento]:[Mês Fechamento]],'Tratamento de Dados 2025'!$C22,Tabela1[[Ano]:[Ano]],'Tratamento de Dados 2025'!$B22)</f>
        <v>0</v>
      </c>
      <c r="H22" s="16">
        <f>SUMIFS(Tabela1[[Custo_Total]:[Custo_Total]],Tabela1[[Tipo_Manutencao]:[Tipo_Manutencao]],'Tratamento de Dados 2025'!H$11,Tabela1[[Mês Fechamento]:[Mês Fechamento]],'Tratamento de Dados 2025'!$C22,Tabela1[[Ano]:[Ano]],'Tratamento de Dados 2025'!$B22)</f>
        <v>0</v>
      </c>
      <c r="I22" s="36">
        <f>Tabela4[[#This Row],[Faturemento Mensal]]*$G$1</f>
        <v>2591.7373499999999</v>
      </c>
      <c r="J22" s="16">
        <f>SUM(Tabela4[[#This Row],[Corretiva não programada]:[Melhoria de Máquinas]])</f>
        <v>2275</v>
      </c>
      <c r="K22" s="2"/>
    </row>
    <row r="23" spans="1:11" x14ac:dyDescent="0.3">
      <c r="A23" s="16">
        <v>776659.91</v>
      </c>
      <c r="B23" s="14">
        <v>2025</v>
      </c>
      <c r="C23" s="14" t="s">
        <v>34</v>
      </c>
      <c r="D23" s="16">
        <f>SUMIFS(Tabela1[[Custo_Total]:[Custo_Total]],Tabela1[[Tipo_Manutencao]:[Tipo_Manutencao]],'Tratamento de Dados 2025'!D$11,Tabela1[[Mês Fechamento]:[Mês Fechamento]],'Tratamento de Dados 2025'!$C23,Tabela1[[Ano]:[Ano]],'Tratamento de Dados 2025'!$B23)</f>
        <v>1817.62</v>
      </c>
      <c r="E23" s="16">
        <f>SUMIFS(Tabela1[[Custo_Total]:[Custo_Total]],Tabela1[[Tipo_Manutencao]:[Tipo_Manutencao]],'Tratamento de Dados 2025'!E$11,Tabela1[[Mês Fechamento]:[Mês Fechamento]],'Tratamento de Dados 2025'!$C23,Tabela1[[Ano]:[Ano]],'Tratamento de Dados 2025'!$B23)</f>
        <v>1758.2</v>
      </c>
      <c r="F23" s="16">
        <f>SUMIFS(Tabela1[[Custo_Total]:[Custo_Total]],Tabela1[[Tipo_Manutencao]:[Tipo_Manutencao]],'Tratamento de Dados 2025'!F$11,Tabela1[[Mês Fechamento]:[Mês Fechamento]],'Tratamento de Dados 2025'!$C23,Tabela1[[Ano]:[Ano]],'Tratamento de Dados 2025'!$B23)</f>
        <v>0</v>
      </c>
      <c r="G23" s="16">
        <f>SUMIFS(Tabela1[[Custo_Total]:[Custo_Total]],Tabela1[[Tipo_Manutencao]:[Tipo_Manutencao]],'Tratamento de Dados 2025'!G$11,Tabela1[[Mês Fechamento]:[Mês Fechamento]],'Tratamento de Dados 2025'!$C23,Tabela1[[Ano]:[Ano]],'Tratamento de Dados 2025'!$B23)</f>
        <v>0</v>
      </c>
      <c r="H23" s="16">
        <f>SUMIFS(Tabela1[[Custo_Total]:[Custo_Total]],Tabela1[[Tipo_Manutencao]:[Tipo_Manutencao]],'Tratamento de Dados 2025'!H$11,Tabela1[[Mês Fechamento]:[Mês Fechamento]],'Tratamento de Dados 2025'!$C23,Tabela1[[Ano]:[Ano]],'Tratamento de Dados 2025'!$B23)</f>
        <v>0</v>
      </c>
      <c r="I23" s="36">
        <f>Tabela4[[#This Row],[Faturemento Mensal]]*$G$1</f>
        <v>3883.2995500000002</v>
      </c>
      <c r="J23" s="16">
        <f>SUM(Tabela4[[#This Row],[Corretiva não programada]:[Melhoria de Máquinas]])</f>
        <v>3575.8199999999997</v>
      </c>
      <c r="K23" s="2"/>
    </row>
  </sheetData>
  <mergeCells count="2">
    <mergeCell ref="B1:C1"/>
    <mergeCell ref="A10:J10"/>
  </mergeCells>
  <pageMargins left="0.75" right="0.75" top="1" bottom="1" header="0.5" footer="0.5"/>
  <pageSetup paperSize="9" orientation="portrait" r:id="rId1"/>
  <ignoredErrors>
    <ignoredError sqref="I12" calculatedColum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20"/>
  <sheetViews>
    <sheetView topLeftCell="A34" workbookViewId="0">
      <selection activeCell="C14" sqref="C14"/>
    </sheetView>
  </sheetViews>
  <sheetFormatPr defaultRowHeight="14.4" x14ac:dyDescent="0.3"/>
  <cols>
    <col min="1" max="1" width="18" customWidth="1"/>
    <col min="2" max="2" width="29.33203125" bestFit="1" customWidth="1"/>
    <col min="3" max="3" width="25.5546875" bestFit="1" customWidth="1"/>
    <col min="4" max="4" width="27.5546875" bestFit="1" customWidth="1"/>
    <col min="5" max="5" width="26" bestFit="1" customWidth="1"/>
    <col min="6" max="6" width="23.6640625" bestFit="1" customWidth="1"/>
    <col min="7" max="7" width="18.109375" bestFit="1" customWidth="1"/>
    <col min="8" max="8" width="12.109375" customWidth="1"/>
    <col min="9" max="9" width="12.33203125" customWidth="1"/>
    <col min="10" max="10" width="18.109375" customWidth="1"/>
    <col min="11" max="11" width="12.109375" customWidth="1"/>
    <col min="12" max="12" width="12.33203125" bestFit="1" customWidth="1"/>
    <col min="13" max="13" width="18.109375" bestFit="1" customWidth="1"/>
    <col min="14" max="14" width="12.109375" customWidth="1"/>
    <col min="15" max="15" width="12.33203125" bestFit="1" customWidth="1"/>
    <col min="16" max="16" width="18.109375" bestFit="1" customWidth="1"/>
    <col min="17" max="17" width="12.109375" bestFit="1" customWidth="1"/>
  </cols>
  <sheetData>
    <row r="3" spans="1:6" x14ac:dyDescent="0.3">
      <c r="A3" s="8" t="s">
        <v>40</v>
      </c>
      <c r="B3" t="s">
        <v>42</v>
      </c>
      <c r="C3" t="s">
        <v>45</v>
      </c>
      <c r="D3" t="s">
        <v>44</v>
      </c>
      <c r="E3" t="s">
        <v>43</v>
      </c>
      <c r="F3" t="s">
        <v>75</v>
      </c>
    </row>
    <row r="4" spans="1:6" x14ac:dyDescent="0.3">
      <c r="A4" s="9">
        <v>2025</v>
      </c>
      <c r="B4">
        <v>40012.11</v>
      </c>
      <c r="C4">
        <v>21650.48</v>
      </c>
      <c r="D4">
        <v>43775</v>
      </c>
      <c r="E4">
        <v>0</v>
      </c>
      <c r="F4">
        <v>60000</v>
      </c>
    </row>
    <row r="5" spans="1:6" x14ac:dyDescent="0.3">
      <c r="A5" s="10" t="s">
        <v>26</v>
      </c>
      <c r="B5">
        <v>5992.48</v>
      </c>
      <c r="C5">
        <v>2976.1000000000004</v>
      </c>
      <c r="D5">
        <v>4200</v>
      </c>
      <c r="E5">
        <v>0</v>
      </c>
      <c r="F5">
        <v>5000</v>
      </c>
    </row>
    <row r="6" spans="1:6" x14ac:dyDescent="0.3">
      <c r="A6" s="10" t="s">
        <v>27</v>
      </c>
      <c r="B6">
        <v>6150.51</v>
      </c>
      <c r="C6">
        <v>2288.54</v>
      </c>
      <c r="D6">
        <v>4200</v>
      </c>
      <c r="E6">
        <v>0</v>
      </c>
      <c r="F6">
        <v>5000</v>
      </c>
    </row>
    <row r="7" spans="1:6" x14ac:dyDescent="0.3">
      <c r="A7" s="10" t="s">
        <v>58</v>
      </c>
      <c r="B7">
        <v>3431.61</v>
      </c>
      <c r="C7">
        <v>1863.39</v>
      </c>
      <c r="D7">
        <v>4200</v>
      </c>
      <c r="E7">
        <v>0</v>
      </c>
      <c r="F7">
        <v>5000</v>
      </c>
    </row>
    <row r="8" spans="1:6" x14ac:dyDescent="0.3">
      <c r="A8" s="10" t="s">
        <v>59</v>
      </c>
      <c r="B8">
        <v>5788.41</v>
      </c>
      <c r="C8">
        <v>690.45</v>
      </c>
      <c r="D8">
        <v>4200</v>
      </c>
      <c r="E8">
        <v>0</v>
      </c>
      <c r="F8">
        <v>5000</v>
      </c>
    </row>
    <row r="9" spans="1:6" x14ac:dyDescent="0.3">
      <c r="A9" s="10" t="s">
        <v>60</v>
      </c>
      <c r="B9">
        <v>7191.1100000000006</v>
      </c>
      <c r="C9">
        <v>0</v>
      </c>
      <c r="D9">
        <v>4200</v>
      </c>
      <c r="E9">
        <v>0</v>
      </c>
      <c r="F9">
        <v>5000</v>
      </c>
    </row>
    <row r="10" spans="1:6" x14ac:dyDescent="0.3">
      <c r="A10" s="10" t="s">
        <v>28</v>
      </c>
      <c r="B10">
        <v>503.03</v>
      </c>
      <c r="C10">
        <v>0</v>
      </c>
      <c r="D10">
        <v>4200</v>
      </c>
      <c r="E10">
        <v>0</v>
      </c>
      <c r="F10">
        <v>5000</v>
      </c>
    </row>
    <row r="11" spans="1:6" x14ac:dyDescent="0.3">
      <c r="A11" s="10" t="s">
        <v>29</v>
      </c>
      <c r="B11">
        <v>0</v>
      </c>
      <c r="C11">
        <v>0</v>
      </c>
      <c r="D11">
        <v>4200</v>
      </c>
      <c r="E11">
        <v>0</v>
      </c>
      <c r="F11">
        <v>5000</v>
      </c>
    </row>
    <row r="12" spans="1:6" x14ac:dyDescent="0.3">
      <c r="A12" s="10" t="s">
        <v>30</v>
      </c>
      <c r="B12">
        <v>0</v>
      </c>
      <c r="C12">
        <v>2372.14</v>
      </c>
      <c r="D12">
        <v>4200</v>
      </c>
      <c r="E12">
        <v>0</v>
      </c>
      <c r="F12">
        <v>5000</v>
      </c>
    </row>
    <row r="13" spans="1:6" x14ac:dyDescent="0.3">
      <c r="A13" s="10" t="s">
        <v>31</v>
      </c>
      <c r="B13">
        <v>1276.67</v>
      </c>
      <c r="C13">
        <v>2372.13</v>
      </c>
      <c r="D13">
        <v>4200</v>
      </c>
      <c r="E13">
        <v>0</v>
      </c>
      <c r="F13">
        <v>5000</v>
      </c>
    </row>
    <row r="14" spans="1:6" x14ac:dyDescent="0.3">
      <c r="A14" s="10" t="s">
        <v>32</v>
      </c>
      <c r="B14">
        <v>976.67</v>
      </c>
      <c r="C14">
        <v>2372.13</v>
      </c>
      <c r="D14">
        <v>4200</v>
      </c>
      <c r="E14">
        <v>0</v>
      </c>
      <c r="F14">
        <v>5000</v>
      </c>
    </row>
    <row r="15" spans="1:6" x14ac:dyDescent="0.3">
      <c r="A15" s="10" t="s">
        <v>33</v>
      </c>
      <c r="B15">
        <v>500</v>
      </c>
      <c r="C15">
        <v>4007.3999999999996</v>
      </c>
      <c r="D15">
        <v>1775</v>
      </c>
      <c r="E15">
        <v>0</v>
      </c>
      <c r="F15">
        <v>5000</v>
      </c>
    </row>
    <row r="16" spans="1:6" x14ac:dyDescent="0.3">
      <c r="A16" s="10" t="s">
        <v>34</v>
      </c>
      <c r="B16">
        <v>8201.619999999999</v>
      </c>
      <c r="C16">
        <v>2708.2</v>
      </c>
      <c r="D16">
        <v>0</v>
      </c>
      <c r="E16">
        <v>0</v>
      </c>
      <c r="F16">
        <v>5000</v>
      </c>
    </row>
    <row r="17" spans="1:6" x14ac:dyDescent="0.3">
      <c r="A17" s="9">
        <v>2026</v>
      </c>
      <c r="B17">
        <v>8358.2000000000007</v>
      </c>
      <c r="C17">
        <v>7683</v>
      </c>
      <c r="D17">
        <v>0</v>
      </c>
      <c r="E17">
        <v>0</v>
      </c>
      <c r="F17">
        <v>10000</v>
      </c>
    </row>
    <row r="18" spans="1:6" x14ac:dyDescent="0.3">
      <c r="A18" s="10" t="s">
        <v>26</v>
      </c>
      <c r="B18">
        <v>6558.2</v>
      </c>
      <c r="C18">
        <v>2758</v>
      </c>
      <c r="D18">
        <v>0</v>
      </c>
      <c r="E18">
        <v>0</v>
      </c>
      <c r="F18">
        <v>5000</v>
      </c>
    </row>
    <row r="19" spans="1:6" x14ac:dyDescent="0.3">
      <c r="A19" s="10" t="s">
        <v>27</v>
      </c>
      <c r="B19">
        <v>1800</v>
      </c>
      <c r="C19">
        <v>4925</v>
      </c>
      <c r="D19">
        <v>0</v>
      </c>
      <c r="E19">
        <v>0</v>
      </c>
      <c r="F19">
        <v>5000</v>
      </c>
    </row>
    <row r="20" spans="1:6" x14ac:dyDescent="0.3">
      <c r="A20" s="9" t="s">
        <v>41</v>
      </c>
      <c r="B20">
        <v>48370.31</v>
      </c>
      <c r="C20">
        <v>29333.48</v>
      </c>
      <c r="D20">
        <v>43775</v>
      </c>
      <c r="E20">
        <v>0</v>
      </c>
      <c r="F20">
        <v>70000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topLeftCell="A18" zoomScale="80" zoomScaleNormal="80" zoomScaleSheetLayoutView="62" workbookViewId="0">
      <selection activeCell="AB20" sqref="AB20"/>
    </sheetView>
  </sheetViews>
  <sheetFormatPr defaultColWidth="9.109375" defaultRowHeight="14.4" x14ac:dyDescent="0.3"/>
  <cols>
    <col min="1" max="16384" width="9.109375" style="7"/>
  </cols>
  <sheetData/>
  <pageMargins left="0.511811024" right="0.511811024" top="0.78740157499999996" bottom="0.78740157499999996" header="0.31496062000000002" footer="0.31496062000000002"/>
  <pageSetup paperSize="9" scale="4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topLeftCell="C1" zoomScale="90" zoomScaleNormal="90" workbookViewId="0">
      <selection activeCell="H7" sqref="H7"/>
    </sheetView>
  </sheetViews>
  <sheetFormatPr defaultColWidth="9.109375" defaultRowHeight="14.4" x14ac:dyDescent="0.3"/>
  <cols>
    <col min="1" max="2" width="24.33203125" bestFit="1" customWidth="1"/>
    <col min="3" max="3" width="39.5546875" bestFit="1" customWidth="1"/>
    <col min="4" max="4" width="37.33203125" bestFit="1" customWidth="1"/>
    <col min="5" max="5" width="31.109375" bestFit="1" customWidth="1"/>
    <col min="6" max="6" width="21.88671875" customWidth="1"/>
    <col min="7" max="7" width="22.5546875" customWidth="1"/>
    <col min="8" max="8" width="26" bestFit="1" customWidth="1"/>
    <col min="9" max="9" width="24.5546875" bestFit="1" customWidth="1"/>
    <col min="10" max="10" width="15.33203125" bestFit="1" customWidth="1"/>
    <col min="11" max="11" width="17" bestFit="1" customWidth="1"/>
  </cols>
  <sheetData>
    <row r="1" spans="1:11" ht="33" customHeight="1" x14ac:dyDescent="0.3">
      <c r="B1" s="37" t="s">
        <v>8</v>
      </c>
      <c r="C1" s="37"/>
      <c r="D1" s="34">
        <v>2026</v>
      </c>
      <c r="F1" s="27" t="s">
        <v>81</v>
      </c>
      <c r="G1" s="28">
        <v>5.0000000000000001E-3</v>
      </c>
    </row>
    <row r="2" spans="1:11" x14ac:dyDescent="0.3">
      <c r="B2" s="1" t="s">
        <v>37</v>
      </c>
      <c r="C2" s="1" t="s">
        <v>36</v>
      </c>
      <c r="D2" s="33" t="s">
        <v>38</v>
      </c>
    </row>
    <row r="3" spans="1:11" x14ac:dyDescent="0.3">
      <c r="B3" t="s">
        <v>22</v>
      </c>
      <c r="C3" s="2">
        <f>SUMIFS(Dados_OS!L:L,Dados_OS!H:H,Tabela54[[#This Row],[Tipo de manutenção]],Dados_OS!D:D,'Tratamento de Dados 2026'!$D$1)</f>
        <v>21982.22</v>
      </c>
      <c r="D3" s="5">
        <f>Tabela54[[#This Row],[Custo Total por tipo de manutenção (R$)]]/SUM(Tabela54[Custo Total por tipo de manutenção (R$)])</f>
        <v>0.71275224277041316</v>
      </c>
      <c r="E3" s="2"/>
    </row>
    <row r="4" spans="1:11" x14ac:dyDescent="0.3">
      <c r="B4" t="s">
        <v>23</v>
      </c>
      <c r="C4" s="2">
        <f>SUMIFS(Dados_OS!L:L,Dados_OS!H:H,Tabela54[[#This Row],[Tipo de manutenção]],Dados_OS!D:D,'Tratamento de Dados 2026'!$D$1)</f>
        <v>7563.33</v>
      </c>
      <c r="D4" s="5">
        <f>Tabela54[[#This Row],[Custo Total por tipo de manutenção (R$)]]/SUM(Tabela54[Custo Total por tipo de manutenção (R$)])</f>
        <v>0.24523366704148847</v>
      </c>
      <c r="E4" s="2"/>
    </row>
    <row r="5" spans="1:11" x14ac:dyDescent="0.3">
      <c r="B5" t="s">
        <v>7</v>
      </c>
      <c r="C5" s="2">
        <f>SUMIFS(Dados_OS!L:L,Dados_OS!H:H,Tabela54[[#This Row],[Tipo de manutenção]],Dados_OS!D:D,'Tratamento de Dados 2026'!$D$1)</f>
        <v>0</v>
      </c>
      <c r="D5" s="5">
        <f>Tabela54[[#This Row],[Custo Total por tipo de manutenção (R$)]]/SUM(Tabela54[Custo Total por tipo de manutenção (R$)])</f>
        <v>0</v>
      </c>
      <c r="E5" s="2"/>
    </row>
    <row r="6" spans="1:11" x14ac:dyDescent="0.3">
      <c r="B6" t="s">
        <v>9</v>
      </c>
      <c r="C6" s="2">
        <f>SUMIFS(Dados_OS!L:L,Dados_OS!H:H,Tabela54[[#This Row],[Tipo de manutenção]],Dados_OS!D:D,'Tratamento de Dados 2026'!$D$1)</f>
        <v>0</v>
      </c>
      <c r="D6" s="5">
        <f>Tabela54[[#This Row],[Custo Total por tipo de manutenção (R$)]]/SUM(Tabela54[Custo Total por tipo de manutenção (R$)])</f>
        <v>0</v>
      </c>
      <c r="E6" s="2"/>
    </row>
    <row r="7" spans="1:11" x14ac:dyDescent="0.3">
      <c r="B7" t="s">
        <v>10</v>
      </c>
      <c r="C7" s="2">
        <f>SUMIFS(Dados_OS!L:L,Dados_OS!H:H,Tabela54[[#This Row],[Tipo de manutenção]],Dados_OS!D:D,'Tratamento de Dados 2026'!$D$1)</f>
        <v>1295.77</v>
      </c>
      <c r="D7" s="5">
        <f>Tabela54[[#This Row],[Custo Total por tipo de manutenção (R$)]]/SUM(Tabela54[Custo Total por tipo de manutenção (R$)])</f>
        <v>4.2014090188098298E-2</v>
      </c>
      <c r="E7" s="2"/>
    </row>
    <row r="8" spans="1:11" x14ac:dyDescent="0.3">
      <c r="D8" s="18">
        <f>SUM(D3:D7)</f>
        <v>1</v>
      </c>
    </row>
    <row r="10" spans="1:11" s="3" customFormat="1" ht="33" customHeight="1" x14ac:dyDescent="0.3">
      <c r="A10" s="38" t="s">
        <v>25</v>
      </c>
      <c r="B10" s="38"/>
      <c r="C10" s="38"/>
      <c r="D10" s="38"/>
      <c r="E10" s="38"/>
      <c r="F10" s="38"/>
      <c r="G10" s="38"/>
      <c r="H10" s="38"/>
      <c r="I10" s="38"/>
      <c r="J10" s="38"/>
    </row>
    <row r="11" spans="1:11" s="3" customFormat="1" ht="29.4" thickBot="1" x14ac:dyDescent="0.35">
      <c r="A11" s="22" t="s">
        <v>80</v>
      </c>
      <c r="B11" s="3" t="s">
        <v>39</v>
      </c>
      <c r="C11" s="3" t="s">
        <v>24</v>
      </c>
      <c r="D11" s="4" t="s">
        <v>22</v>
      </c>
      <c r="E11" s="4" t="s">
        <v>23</v>
      </c>
      <c r="F11" s="4" t="s">
        <v>7</v>
      </c>
      <c r="G11" s="4" t="s">
        <v>9</v>
      </c>
      <c r="H11" s="4" t="s">
        <v>10</v>
      </c>
      <c r="I11" s="4" t="s">
        <v>76</v>
      </c>
      <c r="J11" s="4" t="s">
        <v>41</v>
      </c>
      <c r="K11" s="4"/>
    </row>
    <row r="12" spans="1:11" ht="15" thickTop="1" x14ac:dyDescent="0.3">
      <c r="A12" s="25">
        <v>647585.69999999995</v>
      </c>
      <c r="B12" s="32">
        <v>2026</v>
      </c>
      <c r="C12" t="s">
        <v>26</v>
      </c>
      <c r="D12" s="19">
        <f>SUMIFS(Tabela1[[Custo_Total]:[Custo_Total]],Tabela1[[Tipo_Manutencao]:[Tipo_Manutencao]],'Tratamento de Dados 2026'!D$11,Tabela1[[Mês Fechamento]:[Mês Fechamento]],'Tratamento de Dados 2026'!$C12,Tabela1[[Ano]:[Ano]],'Tratamento de Dados 2026'!$B12)</f>
        <v>2330</v>
      </c>
      <c r="E12" s="19">
        <f>SUMIFS(Tabela1[[Custo_Total]:[Custo_Total]],Tabela1[[Tipo_Manutencao]:[Tipo_Manutencao]],'Tratamento de Dados 2026'!E$11,Tabela1[[Mês Fechamento]:[Mês Fechamento]],'Tratamento de Dados 2026'!$C12,Tabela1[[Ano]:[Ano]],'Tratamento de Dados 2026'!$B12)</f>
        <v>900</v>
      </c>
      <c r="F12" s="19">
        <f>SUMIFS(Tabela1[[Custo_Total]:[Custo_Total]],Tabela1[[Tipo_Manutencao]:[Tipo_Manutencao]],'Tratamento de Dados 2026'!F$11,Tabela1[[Mês Fechamento]:[Mês Fechamento]],'Tratamento de Dados 2026'!$C12,Tabela1[[Ano]:[Ano]],'Tratamento de Dados 2026'!$B12)</f>
        <v>0</v>
      </c>
      <c r="G12" s="19">
        <f>SUMIFS(Tabela1[[Custo_Total]:[Custo_Total]],Tabela1[[Tipo_Manutencao]:[Tipo_Manutencao]],'Tratamento de Dados 2026'!G$11,Tabela1[[Mês Fechamento]:[Mês Fechamento]],'Tratamento de Dados 2026'!$C12,Tabela1[[Ano]:[Ano]],'Tratamento de Dados 2026'!$B12)</f>
        <v>0</v>
      </c>
      <c r="H12" s="29">
        <f>SUMIFS(Tabela1[[Custo_Total]:[Custo_Total]],Tabela1[[Tipo_Manutencao]:[Tipo_Manutencao]],'Tratamento de Dados 2026'!H$11,Tabela1[[Mês Fechamento]:[Mês Fechamento]],'Tratamento de Dados 2026'!$C12,Tabela1[[Ano]:[Ano]],'Tratamento de Dados 2026'!$B12)</f>
        <v>0</v>
      </c>
      <c r="I12" s="20">
        <f t="shared" ref="I12:I23" si="0">A12*$G$1</f>
        <v>3237.9285</v>
      </c>
      <c r="J12" s="2">
        <f>SUM(Tabela43[[#This Row],[Corretiva não programada]:[Melhoria]])</f>
        <v>3230</v>
      </c>
      <c r="K12" s="24"/>
    </row>
    <row r="13" spans="1:11" x14ac:dyDescent="0.3">
      <c r="A13" s="26">
        <v>844687.4</v>
      </c>
      <c r="B13" s="32">
        <v>2026</v>
      </c>
      <c r="C13" t="s">
        <v>27</v>
      </c>
      <c r="D13" s="19">
        <f>SUMIFS(Tabela1[[Custo_Total]:[Custo_Total]],Tabela1[[Tipo_Manutencao]:[Tipo_Manutencao]],'Tratamento de Dados 2026'!D$11,Tabela1[[Mês Fechamento]:[Mês Fechamento]],'Tratamento de Dados 2026'!$C13,Tabela1[[Ano]:[Ano]],'Tratamento de Dados 2026'!$B13)</f>
        <v>1800</v>
      </c>
      <c r="E13" s="19">
        <f>SUMIFS(Tabela1[[Custo_Total]:[Custo_Total]],Tabela1[[Tipo_Manutencao]:[Tipo_Manutencao]],'Tratamento de Dados 2026'!E$11,Tabela1[[Mês Fechamento]:[Mês Fechamento]],'Tratamento de Dados 2026'!$C13,Tabela1[[Ano]:[Ano]],'Tratamento de Dados 2026'!$B13)</f>
        <v>2445</v>
      </c>
      <c r="F13" s="19">
        <f>SUMIFS(Tabela1[[Custo_Total]:[Custo_Total]],Tabela1[[Tipo_Manutencao]:[Tipo_Manutencao]],'Tratamento de Dados 2026'!F$11,Tabela1[[Mês Fechamento]:[Mês Fechamento]],'Tratamento de Dados 2026'!$C13,Tabela1[[Ano]:[Ano]],'Tratamento de Dados 2026'!$B13)</f>
        <v>0</v>
      </c>
      <c r="G13" s="19">
        <f>SUMIFS(Tabela1[[Custo_Total]:[Custo_Total]],Tabela1[[Tipo_Manutencao]:[Tipo_Manutencao]],'Tratamento de Dados 2026'!G$11,Tabela1[[Mês Fechamento]:[Mês Fechamento]],'Tratamento de Dados 2026'!$C13,Tabela1[[Ano]:[Ano]],'Tratamento de Dados 2026'!$B13)</f>
        <v>0</v>
      </c>
      <c r="H13" s="29">
        <f>SUMIFS(Tabela1[[Custo_Total]:[Custo_Total]],Tabela1[[Tipo_Manutencao]:[Tipo_Manutencao]],'Tratamento de Dados 2026'!H$11,Tabela1[[Mês Fechamento]:[Mês Fechamento]],'Tratamento de Dados 2026'!$C13,Tabela1[[Ano]:[Ano]],'Tratamento de Dados 2026'!$B13)</f>
        <v>600</v>
      </c>
      <c r="I13" s="20">
        <f t="shared" si="0"/>
        <v>4223.4369999999999</v>
      </c>
      <c r="J13" s="2">
        <f>SUM(Tabela43[[#This Row],[Corretiva não programada]:[Melhoria]])</f>
        <v>4845</v>
      </c>
      <c r="K13" s="24"/>
    </row>
    <row r="14" spans="1:11" x14ac:dyDescent="0.3">
      <c r="A14" s="25">
        <v>753982.97</v>
      </c>
      <c r="B14" s="32">
        <v>2026</v>
      </c>
      <c r="C14" t="s">
        <v>58</v>
      </c>
      <c r="D14" s="19">
        <f>SUMIFS(Tabela1[[Custo_Total]:[Custo_Total]],Tabela1[[Tipo_Manutencao]:[Tipo_Manutencao]],'Tratamento de Dados 2026'!D$11,Tabela1[[Mês Fechamento]:[Mês Fechamento]],'Tratamento de Dados 2026'!$C14,Tabela1[[Ano]:[Ano]],'Tratamento de Dados 2026'!$B14)</f>
        <v>10476.219999999999</v>
      </c>
      <c r="E14" s="19">
        <f>SUMIFS(Tabela1[[Custo_Total]:[Custo_Total]],Tabela1[[Tipo_Manutencao]:[Tipo_Manutencao]],'Tratamento de Dados 2026'!E$11,Tabela1[[Mês Fechamento]:[Mês Fechamento]],'Tratamento de Dados 2026'!$C14,Tabela1[[Ano]:[Ano]],'Tratamento de Dados 2026'!$B14)</f>
        <v>460</v>
      </c>
      <c r="F14" s="19">
        <f>SUMIFS(Tabela1[[Custo_Total]:[Custo_Total]],Tabela1[[Tipo_Manutencao]:[Tipo_Manutencao]],'Tratamento de Dados 2026'!F$11,Tabela1[[Mês Fechamento]:[Mês Fechamento]],'Tratamento de Dados 2026'!$C14,Tabela1[[Ano]:[Ano]],'Tratamento de Dados 2026'!$B14)</f>
        <v>0</v>
      </c>
      <c r="G14" s="19">
        <f>SUMIFS(Tabela1[[Custo_Total]:[Custo_Total]],Tabela1[[Tipo_Manutencao]:[Tipo_Manutencao]],'Tratamento de Dados 2026'!G$11,Tabela1[[Mês Fechamento]:[Mês Fechamento]],'Tratamento de Dados 2026'!$C14,Tabela1[[Ano]:[Ano]],'Tratamento de Dados 2026'!$B14)</f>
        <v>0</v>
      </c>
      <c r="H14" s="29">
        <f>SUMIFS(Tabela1[[Custo_Total]:[Custo_Total]],Tabela1[[Tipo_Manutencao]:[Tipo_Manutencao]],'Tratamento de Dados 2026'!H$11,Tabela1[[Mês Fechamento]:[Mês Fechamento]],'Tratamento de Dados 2026'!$C14,Tabela1[[Ano]:[Ano]],'Tratamento de Dados 2026'!$B14)</f>
        <v>0</v>
      </c>
      <c r="I14" s="20">
        <f t="shared" si="0"/>
        <v>3769.9148500000001</v>
      </c>
      <c r="J14" s="2">
        <f>SUM(Tabela43[[#This Row],[Corretiva não programada]:[Melhoria]])</f>
        <v>10936.22</v>
      </c>
      <c r="K14" s="24"/>
    </row>
    <row r="15" spans="1:11" x14ac:dyDescent="0.3">
      <c r="A15" s="26">
        <v>907675.67</v>
      </c>
      <c r="B15" s="32">
        <v>2026</v>
      </c>
      <c r="C15" t="s">
        <v>59</v>
      </c>
      <c r="D15" s="19">
        <f>SUMIFS(Tabela1[[Custo_Total]:[Custo_Total]],Tabela1[[Tipo_Manutencao]:[Tipo_Manutencao]],'Tratamento de Dados 2026'!D$11,Tabela1[[Mês Fechamento]:[Mês Fechamento]],'Tratamento de Dados 2026'!$C15,Tabela1[[Ano]:[Ano]],'Tratamento de Dados 2026'!$B15)</f>
        <v>0</v>
      </c>
      <c r="E15" s="19">
        <f>SUMIFS(Tabela1[[Custo_Total]:[Custo_Total]],Tabela1[[Tipo_Manutencao]:[Tipo_Manutencao]],'Tratamento de Dados 2026'!E$11,Tabela1[[Mês Fechamento]:[Mês Fechamento]],'Tratamento de Dados 2026'!$C15,Tabela1[[Ano]:[Ano]],'Tratamento de Dados 2026'!$B15)</f>
        <v>3583.33</v>
      </c>
      <c r="F15" s="19">
        <f>SUMIFS(Tabela1[[Custo_Total]:[Custo_Total]],Tabela1[[Tipo_Manutencao]:[Tipo_Manutencao]],'Tratamento de Dados 2026'!F$11,Tabela1[[Mês Fechamento]:[Mês Fechamento]],'Tratamento de Dados 2026'!$C15,Tabela1[[Ano]:[Ano]],'Tratamento de Dados 2026'!$B15)</f>
        <v>0</v>
      </c>
      <c r="G15" s="19">
        <f>SUMIFS(Tabela1[[Custo_Total]:[Custo_Total]],Tabela1[[Tipo_Manutencao]:[Tipo_Manutencao]],'Tratamento de Dados 2026'!G$11,Tabela1[[Mês Fechamento]:[Mês Fechamento]],'Tratamento de Dados 2026'!$C15,Tabela1[[Ano]:[Ano]],'Tratamento de Dados 2026'!$B15)</f>
        <v>0</v>
      </c>
      <c r="H15" s="29">
        <f>SUMIFS(Tabela1[[Custo_Total]:[Custo_Total]],Tabela1[[Tipo_Manutencao]:[Tipo_Manutencao]],'Tratamento de Dados 2026'!H$11,Tabela1[[Mês Fechamento]:[Mês Fechamento]],'Tratamento de Dados 2026'!$C15,Tabela1[[Ano]:[Ano]],'Tratamento de Dados 2026'!$B15)</f>
        <v>0</v>
      </c>
      <c r="I15" s="20">
        <f t="shared" si="0"/>
        <v>4538.37835</v>
      </c>
      <c r="J15" s="2">
        <f>SUM(Tabela43[[#This Row],[Corretiva não programada]:[Melhoria]])</f>
        <v>3583.33</v>
      </c>
      <c r="K15" s="24"/>
    </row>
    <row r="16" spans="1:11" x14ac:dyDescent="0.3">
      <c r="A16" s="25">
        <v>884756.31</v>
      </c>
      <c r="B16" s="32">
        <v>2026</v>
      </c>
      <c r="C16" t="s">
        <v>60</v>
      </c>
      <c r="D16" s="19">
        <f>SUMIFS(Tabela1[[Custo_Total]:[Custo_Total]],Tabela1[[Tipo_Manutencao]:[Tipo_Manutencao]],'Tratamento de Dados 2026'!D$11,Tabela1[[Mês Fechamento]:[Mês Fechamento]],'Tratamento de Dados 2026'!$C16,Tabela1[[Ano]:[Ano]],'Tratamento de Dados 2026'!$B16)</f>
        <v>7376</v>
      </c>
      <c r="E16" s="19">
        <f>SUMIFS(Tabela1[[Custo_Total]:[Custo_Total]],Tabela1[[Tipo_Manutencao]:[Tipo_Manutencao]],'Tratamento de Dados 2026'!E$11,Tabela1[[Mês Fechamento]:[Mês Fechamento]],'Tratamento de Dados 2026'!$C16,Tabela1[[Ano]:[Ano]],'Tratamento de Dados 2026'!$B16)</f>
        <v>175</v>
      </c>
      <c r="F16" s="19">
        <f>SUMIFS(Tabela1[[Custo_Total]:[Custo_Total]],Tabela1[[Tipo_Manutencao]:[Tipo_Manutencao]],'Tratamento de Dados 2026'!F$11,Tabela1[[Mês Fechamento]:[Mês Fechamento]],'Tratamento de Dados 2026'!$C16,Tabela1[[Ano]:[Ano]],'Tratamento de Dados 2026'!$B16)</f>
        <v>0</v>
      </c>
      <c r="G16" s="19">
        <f>SUMIFS(Tabela1[[Custo_Total]:[Custo_Total]],Tabela1[[Tipo_Manutencao]:[Tipo_Manutencao]],'Tratamento de Dados 2026'!G$11,Tabela1[[Mês Fechamento]:[Mês Fechamento]],'Tratamento de Dados 2026'!$C16,Tabela1[[Ano]:[Ano]],'Tratamento de Dados 2026'!$B16)</f>
        <v>0</v>
      </c>
      <c r="H16" s="29">
        <f>SUMIFS(Tabela1[[Custo_Total]:[Custo_Total]],Tabela1[[Tipo_Manutencao]:[Tipo_Manutencao]],'Tratamento de Dados 2026'!H$11,Tabela1[[Mês Fechamento]:[Mês Fechamento]],'Tratamento de Dados 2026'!$C16,Tabela1[[Ano]:[Ano]],'Tratamento de Dados 2026'!$B16)</f>
        <v>695.77</v>
      </c>
      <c r="I16" s="20">
        <f t="shared" si="0"/>
        <v>4423.7815500000006</v>
      </c>
      <c r="J16" s="2">
        <f>SUM(Tabela43[[#This Row],[Corretiva não programada]:[Melhoria]])</f>
        <v>8246.77</v>
      </c>
      <c r="K16" s="24"/>
    </row>
    <row r="17" spans="1:11" x14ac:dyDescent="0.3">
      <c r="A17" s="26">
        <v>0</v>
      </c>
      <c r="B17" s="32">
        <v>2026</v>
      </c>
      <c r="C17" t="s">
        <v>28</v>
      </c>
      <c r="D17" s="19">
        <f>SUMIFS(Tabela1[[Custo_Total]:[Custo_Total]],Tabela1[[Tipo_Manutencao]:[Tipo_Manutencao]],'Tratamento de Dados 2026'!D$11,Tabela1[[Mês Fechamento]:[Mês Fechamento]],'Tratamento de Dados 2026'!$C17,Tabela1[[Ano]:[Ano]],'Tratamento de Dados 2026'!$B17)</f>
        <v>0</v>
      </c>
      <c r="E17" s="2">
        <f>SUMIFS(Tabela1[[Custo_Total]:[Custo_Total]],Tabela1[[Tipo_Manutencao]:[Tipo_Manutencao]],'Tratamento de Dados 2026'!E$11,Tabela1[[Mês Fechamento]:[Mês Fechamento]],'Tratamento de Dados 2026'!$C17,Tabela1[[Ano]:[Ano]],'Tratamento de Dados 2026'!$B17)</f>
        <v>0</v>
      </c>
      <c r="F17" s="19">
        <f>SUMIFS(Tabela1[[Custo_Total]:[Custo_Total]],Tabela1[[Tipo_Manutencao]:[Tipo_Manutencao]],'Tratamento de Dados 2026'!F$11,Tabela1[[Mês Fechamento]:[Mês Fechamento]],'Tratamento de Dados 2026'!$C17,Tabela1[[Ano]:[Ano]],'Tratamento de Dados 2026'!$B17)</f>
        <v>0</v>
      </c>
      <c r="G17" s="19">
        <f>SUMIFS(Tabela1[[Custo_Total]:[Custo_Total]],Tabela1[[Tipo_Manutencao]:[Tipo_Manutencao]],'Tratamento de Dados 2026'!G$11,Tabela1[[Mês Fechamento]:[Mês Fechamento]],'Tratamento de Dados 2026'!$C17,Tabela1[[Ano]:[Ano]],'Tratamento de Dados 2026'!$B17)</f>
        <v>0</v>
      </c>
      <c r="H17" s="29">
        <f>SUMIFS(Tabela1[[Custo_Total]:[Custo_Total]],Tabela1[[Tipo_Manutencao]:[Tipo_Manutencao]],'Tratamento de Dados 2026'!H$11,Tabela1[[Mês Fechamento]:[Mês Fechamento]],'Tratamento de Dados 2026'!$C17,Tabela1[[Ano]:[Ano]],'Tratamento de Dados 2026'!$B17)</f>
        <v>0</v>
      </c>
      <c r="I17" s="20">
        <f t="shared" si="0"/>
        <v>0</v>
      </c>
      <c r="J17" s="2">
        <f>SUM(Tabela43[[#This Row],[Corretiva não programada]:[Melhoria]])</f>
        <v>0</v>
      </c>
      <c r="K17" s="24"/>
    </row>
    <row r="18" spans="1:11" x14ac:dyDescent="0.3">
      <c r="A18" s="25">
        <v>0</v>
      </c>
      <c r="B18" s="32">
        <v>2026</v>
      </c>
      <c r="C18" t="s">
        <v>29</v>
      </c>
      <c r="D18" s="19">
        <f>SUMIFS(Tabela1[[Custo_Total]:[Custo_Total]],Tabela1[[Tipo_Manutencao]:[Tipo_Manutencao]],'Tratamento de Dados 2026'!D$11,Tabela1[[Mês Fechamento]:[Mês Fechamento]],'Tratamento de Dados 2026'!$C18,Tabela1[[Ano]:[Ano]],'Tratamento de Dados 2026'!$B18)</f>
        <v>0</v>
      </c>
      <c r="E18" s="2">
        <f>SUMIFS(Tabela1[[Custo_Total]:[Custo_Total]],Tabela1[[Tipo_Manutencao]:[Tipo_Manutencao]],'Tratamento de Dados 2026'!E$11,Tabela1[[Mês Fechamento]:[Mês Fechamento]],'Tratamento de Dados 2026'!$C18,Tabela1[[Ano]:[Ano]],'Tratamento de Dados 2026'!$B18)</f>
        <v>0</v>
      </c>
      <c r="F18" s="19">
        <f>SUMIFS(Tabela1[[Custo_Total]:[Custo_Total]],Tabela1[[Tipo_Manutencao]:[Tipo_Manutencao]],'Tratamento de Dados 2026'!F$11,Tabela1[[Mês Fechamento]:[Mês Fechamento]],'Tratamento de Dados 2026'!$C18,Tabela1[[Ano]:[Ano]],'Tratamento de Dados 2026'!$B18)</f>
        <v>0</v>
      </c>
      <c r="G18" s="19">
        <f>SUMIFS(Tabela1[[Custo_Total]:[Custo_Total]],Tabela1[[Tipo_Manutencao]:[Tipo_Manutencao]],'Tratamento de Dados 2026'!G$11,Tabela1[[Mês Fechamento]:[Mês Fechamento]],'Tratamento de Dados 2026'!$C18,Tabela1[[Ano]:[Ano]],'Tratamento de Dados 2026'!$B18)</f>
        <v>0</v>
      </c>
      <c r="H18" s="29">
        <f>SUMIFS(Tabela1[[Custo_Total]:[Custo_Total]],Tabela1[[Tipo_Manutencao]:[Tipo_Manutencao]],'Tratamento de Dados 2026'!H$11,Tabela1[[Mês Fechamento]:[Mês Fechamento]],'Tratamento de Dados 2026'!$C18,Tabela1[[Ano]:[Ano]],'Tratamento de Dados 2026'!$B18)</f>
        <v>0</v>
      </c>
      <c r="I18" s="20">
        <f t="shared" si="0"/>
        <v>0</v>
      </c>
      <c r="J18" s="2">
        <f>SUM(Tabela43[[#This Row],[Corretiva não programada]:[Melhoria]])</f>
        <v>0</v>
      </c>
      <c r="K18" s="24"/>
    </row>
    <row r="19" spans="1:11" x14ac:dyDescent="0.3">
      <c r="A19" s="26">
        <v>0</v>
      </c>
      <c r="B19" s="32">
        <v>2026</v>
      </c>
      <c r="C19" t="s">
        <v>30</v>
      </c>
      <c r="D19" s="19">
        <f>SUMIFS(Tabela1[[Custo_Total]:[Custo_Total]],Tabela1[[Tipo_Manutencao]:[Tipo_Manutencao]],'Tratamento de Dados 2026'!D$11,Tabela1[[Mês Fechamento]:[Mês Fechamento]],'Tratamento de Dados 2026'!$C19,Tabela1[[Ano]:[Ano]],'Tratamento de Dados 2026'!$B19)</f>
        <v>0</v>
      </c>
      <c r="E19" s="2">
        <f>SUMIFS(Tabela1[[Custo_Total]:[Custo_Total]],Tabela1[[Tipo_Manutencao]:[Tipo_Manutencao]],'Tratamento de Dados 2026'!E$11,Tabela1[[Mês Fechamento]:[Mês Fechamento]],'Tratamento de Dados 2026'!$C19,Tabela1[[Ano]:[Ano]],'Tratamento de Dados 2026'!$B19)</f>
        <v>0</v>
      </c>
      <c r="F19" s="19">
        <f>SUMIFS(Tabela1[[Custo_Total]:[Custo_Total]],Tabela1[[Tipo_Manutencao]:[Tipo_Manutencao]],'Tratamento de Dados 2026'!F$11,Tabela1[[Mês Fechamento]:[Mês Fechamento]],'Tratamento de Dados 2026'!$C19,Tabela1[[Ano]:[Ano]],'Tratamento de Dados 2026'!$B19)</f>
        <v>0</v>
      </c>
      <c r="G19" s="19">
        <f>SUMIFS(Tabela1[[Custo_Total]:[Custo_Total]],Tabela1[[Tipo_Manutencao]:[Tipo_Manutencao]],'Tratamento de Dados 2026'!G$11,Tabela1[[Mês Fechamento]:[Mês Fechamento]],'Tratamento de Dados 2026'!$C19,Tabela1[[Ano]:[Ano]],'Tratamento de Dados 2026'!$B19)</f>
        <v>0</v>
      </c>
      <c r="H19" s="29">
        <f>SUMIFS(Tabela1[[Custo_Total]:[Custo_Total]],Tabela1[[Tipo_Manutencao]:[Tipo_Manutencao]],'Tratamento de Dados 2026'!H$11,Tabela1[[Mês Fechamento]:[Mês Fechamento]],'Tratamento de Dados 2026'!$C19,Tabela1[[Ano]:[Ano]],'Tratamento de Dados 2026'!$B19)</f>
        <v>0</v>
      </c>
      <c r="I19" s="20">
        <f t="shared" si="0"/>
        <v>0</v>
      </c>
      <c r="J19" s="2">
        <f>SUM(Tabela43[[#This Row],[Corretiva não programada]:[Melhoria]])</f>
        <v>0</v>
      </c>
      <c r="K19" s="24"/>
    </row>
    <row r="20" spans="1:11" x14ac:dyDescent="0.3">
      <c r="A20" s="25">
        <v>0</v>
      </c>
      <c r="B20" s="32">
        <v>2026</v>
      </c>
      <c r="C20" t="s">
        <v>31</v>
      </c>
      <c r="D20" s="19">
        <f>SUMIFS(Tabela1[[Custo_Total]:[Custo_Total]],Tabela1[[Tipo_Manutencao]:[Tipo_Manutencao]],'Tratamento de Dados 2026'!D$11,Tabela1[[Mês Fechamento]:[Mês Fechamento]],'Tratamento de Dados 2026'!$C20,Tabela1[[Ano]:[Ano]],'Tratamento de Dados 2026'!$B20)</f>
        <v>0</v>
      </c>
      <c r="E20" s="2">
        <f>SUMIFS(Tabela1[[Custo_Total]:[Custo_Total]],Tabela1[[Tipo_Manutencao]:[Tipo_Manutencao]],'Tratamento de Dados 2026'!E$11,Tabela1[[Mês Fechamento]:[Mês Fechamento]],'Tratamento de Dados 2026'!$C20,Tabela1[[Ano]:[Ano]],'Tratamento de Dados 2026'!$B20)</f>
        <v>0</v>
      </c>
      <c r="F20" s="19">
        <f>SUMIFS(Tabela1[[Custo_Total]:[Custo_Total]],Tabela1[[Tipo_Manutencao]:[Tipo_Manutencao]],'Tratamento de Dados 2026'!F$11,Tabela1[[Mês Fechamento]:[Mês Fechamento]],'Tratamento de Dados 2026'!$C20,Tabela1[[Ano]:[Ano]],'Tratamento de Dados 2026'!$B20)</f>
        <v>0</v>
      </c>
      <c r="G20" s="19">
        <f>SUMIFS(Tabela1[[Custo_Total]:[Custo_Total]],Tabela1[[Tipo_Manutencao]:[Tipo_Manutencao]],'Tratamento de Dados 2026'!G$11,Tabela1[[Mês Fechamento]:[Mês Fechamento]],'Tratamento de Dados 2026'!$C20,Tabela1[[Ano]:[Ano]],'Tratamento de Dados 2026'!$B20)</f>
        <v>0</v>
      </c>
      <c r="H20" s="29">
        <f>SUMIFS(Tabela1[[Custo_Total]:[Custo_Total]],Tabela1[[Tipo_Manutencao]:[Tipo_Manutencao]],'Tratamento de Dados 2026'!H$11,Tabela1[[Mês Fechamento]:[Mês Fechamento]],'Tratamento de Dados 2026'!$C20,Tabela1[[Ano]:[Ano]],'Tratamento de Dados 2026'!$B20)</f>
        <v>0</v>
      </c>
      <c r="I20" s="20">
        <f t="shared" si="0"/>
        <v>0</v>
      </c>
      <c r="J20" s="2">
        <f>SUM(Tabela43[[#This Row],[Corretiva não programada]:[Melhoria]])</f>
        <v>0</v>
      </c>
      <c r="K20" s="24"/>
    </row>
    <row r="21" spans="1:11" x14ac:dyDescent="0.3">
      <c r="A21" s="26">
        <v>0</v>
      </c>
      <c r="B21" s="32">
        <v>2026</v>
      </c>
      <c r="C21" t="s">
        <v>32</v>
      </c>
      <c r="D21" s="19">
        <f>SUMIFS(Tabela1[[Custo_Total]:[Custo_Total]],Tabela1[[Tipo_Manutencao]:[Tipo_Manutencao]],'Tratamento de Dados 2026'!D$11,Tabela1[[Mês Fechamento]:[Mês Fechamento]],'Tratamento de Dados 2026'!$C21,Tabela1[[Ano]:[Ano]],'Tratamento de Dados 2026'!$B21)</f>
        <v>0</v>
      </c>
      <c r="E21" s="2">
        <f>SUMIFS(Tabela1[[Custo_Total]:[Custo_Total]],Tabela1[[Tipo_Manutencao]:[Tipo_Manutencao]],'Tratamento de Dados 2026'!E$11,Tabela1[[Mês Fechamento]:[Mês Fechamento]],'Tratamento de Dados 2026'!$C21,Tabela1[[Ano]:[Ano]],'Tratamento de Dados 2026'!$B21)</f>
        <v>0</v>
      </c>
      <c r="F21" s="19">
        <f>SUMIFS(Tabela1[[Custo_Total]:[Custo_Total]],Tabela1[[Tipo_Manutencao]:[Tipo_Manutencao]],'Tratamento de Dados 2026'!F$11,Tabela1[[Mês Fechamento]:[Mês Fechamento]],'Tratamento de Dados 2026'!$C21,Tabela1[[Ano]:[Ano]],'Tratamento de Dados 2026'!$B21)</f>
        <v>0</v>
      </c>
      <c r="G21" s="19">
        <f>SUMIFS(Tabela1[[Custo_Total]:[Custo_Total]],Tabela1[[Tipo_Manutencao]:[Tipo_Manutencao]],'Tratamento de Dados 2026'!G$11,Tabela1[[Mês Fechamento]:[Mês Fechamento]],'Tratamento de Dados 2026'!$C21,Tabela1[[Ano]:[Ano]],'Tratamento de Dados 2026'!$B21)</f>
        <v>0</v>
      </c>
      <c r="H21" s="29">
        <f>SUMIFS(Tabela1[[Custo_Total]:[Custo_Total]],Tabela1[[Tipo_Manutencao]:[Tipo_Manutencao]],'Tratamento de Dados 2026'!H$11,Tabela1[[Mês Fechamento]:[Mês Fechamento]],'Tratamento de Dados 2026'!$C21,Tabela1[[Ano]:[Ano]],'Tratamento de Dados 2026'!$B21)</f>
        <v>0</v>
      </c>
      <c r="I21" s="20">
        <f t="shared" si="0"/>
        <v>0</v>
      </c>
      <c r="J21" s="2">
        <f>SUM(Tabela43[[#This Row],[Corretiva não programada]:[Melhoria]])</f>
        <v>0</v>
      </c>
      <c r="K21" s="24"/>
    </row>
    <row r="22" spans="1:11" x14ac:dyDescent="0.3">
      <c r="A22" s="25">
        <v>0</v>
      </c>
      <c r="B22" s="32">
        <v>2026</v>
      </c>
      <c r="C22" t="s">
        <v>33</v>
      </c>
      <c r="D22" s="19">
        <f>SUMIFS(Tabela1[[Custo_Total]:[Custo_Total]],Tabela1[[Tipo_Manutencao]:[Tipo_Manutencao]],'Tratamento de Dados 2026'!D$11,Tabela1[[Mês Fechamento]:[Mês Fechamento]],'Tratamento de Dados 2026'!$C22,Tabela1[[Ano]:[Ano]],'Tratamento de Dados 2026'!$B22)</f>
        <v>0</v>
      </c>
      <c r="E22" s="2">
        <f>SUMIFS(Tabela1[[Custo_Total]:[Custo_Total]],Tabela1[[Tipo_Manutencao]:[Tipo_Manutencao]],'Tratamento de Dados 2026'!E$11,Tabela1[[Mês Fechamento]:[Mês Fechamento]],'Tratamento de Dados 2026'!$C22,Tabela1[[Ano]:[Ano]],'Tratamento de Dados 2026'!$B22)</f>
        <v>0</v>
      </c>
      <c r="F22" s="19">
        <f>SUMIFS(Tabela1[[Custo_Total]:[Custo_Total]],Tabela1[[Tipo_Manutencao]:[Tipo_Manutencao]],'Tratamento de Dados 2026'!F$11,Tabela1[[Mês Fechamento]:[Mês Fechamento]],'Tratamento de Dados 2026'!$C22,Tabela1[[Ano]:[Ano]],'Tratamento de Dados 2026'!$B22)</f>
        <v>0</v>
      </c>
      <c r="G22" s="19">
        <f>SUMIFS(Tabela1[[Custo_Total]:[Custo_Total]],Tabela1[[Tipo_Manutencao]:[Tipo_Manutencao]],'Tratamento de Dados 2026'!G$11,Tabela1[[Mês Fechamento]:[Mês Fechamento]],'Tratamento de Dados 2026'!$C22,Tabela1[[Ano]:[Ano]],'Tratamento de Dados 2026'!$B22)</f>
        <v>0</v>
      </c>
      <c r="H22" s="29">
        <f>SUMIFS(Tabela1[[Custo_Total]:[Custo_Total]],Tabela1[[Tipo_Manutencao]:[Tipo_Manutencao]],'Tratamento de Dados 2026'!H$11,Tabela1[[Mês Fechamento]:[Mês Fechamento]],'Tratamento de Dados 2026'!$C22,Tabela1[[Ano]:[Ano]],'Tratamento de Dados 2026'!$B22)</f>
        <v>0</v>
      </c>
      <c r="I22" s="20">
        <f t="shared" si="0"/>
        <v>0</v>
      </c>
      <c r="J22" s="2">
        <f>SUM(Tabela43[[#This Row],[Corretiva não programada]:[Melhoria]])</f>
        <v>0</v>
      </c>
      <c r="K22" s="24"/>
    </row>
    <row r="23" spans="1:11" x14ac:dyDescent="0.3">
      <c r="A23" s="26">
        <v>0</v>
      </c>
      <c r="B23" s="32">
        <v>2026</v>
      </c>
      <c r="C23" t="s">
        <v>34</v>
      </c>
      <c r="D23" s="19">
        <f>SUMIFS(Tabela1[[Custo_Total]:[Custo_Total]],Tabela1[[Tipo_Manutencao]:[Tipo_Manutencao]],'Tratamento de Dados 2026'!D$11,Tabela1[[Mês Fechamento]:[Mês Fechamento]],'Tratamento de Dados 2026'!$C23,Tabela1[[Ano]:[Ano]],'Tratamento de Dados 2026'!$B23)</f>
        <v>0</v>
      </c>
      <c r="E23" s="2">
        <f>SUMIFS(Tabela1[[Custo_Total]:[Custo_Total]],Tabela1[[Tipo_Manutencao]:[Tipo_Manutencao]],'Tratamento de Dados 2026'!E$11,Tabela1[[Mês Fechamento]:[Mês Fechamento]],'Tratamento de Dados 2026'!$C23,Tabela1[[Ano]:[Ano]],'Tratamento de Dados 2026'!$B23)</f>
        <v>0</v>
      </c>
      <c r="F23" s="19">
        <f>SUMIFS(Tabela1[[Custo_Total]:[Custo_Total]],Tabela1[[Tipo_Manutencao]:[Tipo_Manutencao]],'Tratamento de Dados 2026'!F$11,Tabela1[[Mês Fechamento]:[Mês Fechamento]],'Tratamento de Dados 2026'!$C23,Tabela1[[Ano]:[Ano]],'Tratamento de Dados 2026'!$B23)</f>
        <v>0</v>
      </c>
      <c r="G23" s="19">
        <f>SUMIFS(Tabela1[[Custo_Total]:[Custo_Total]],Tabela1[[Tipo_Manutencao]:[Tipo_Manutencao]],'Tratamento de Dados 2026'!G$11,Tabela1[[Mês Fechamento]:[Mês Fechamento]],'Tratamento de Dados 2026'!$C23,Tabela1[[Ano]:[Ano]],'Tratamento de Dados 2026'!$B23)</f>
        <v>0</v>
      </c>
      <c r="H23" s="29">
        <f>SUMIFS(Tabela1[[Custo_Total]:[Custo_Total]],Tabela1[[Tipo_Manutencao]:[Tipo_Manutencao]],'Tratamento de Dados 2026'!H$11,Tabela1[[Mês Fechamento]:[Mês Fechamento]],'Tratamento de Dados 2026'!$C23,Tabela1[[Ano]:[Ano]],'Tratamento de Dados 2026'!$B23)</f>
        <v>0</v>
      </c>
      <c r="I23" s="20">
        <f t="shared" si="0"/>
        <v>0</v>
      </c>
      <c r="J23" s="2">
        <f>SUM(Tabela43[[#This Row],[Corretiva não programada]:[Melhoria]])</f>
        <v>0</v>
      </c>
      <c r="K23" s="24"/>
    </row>
    <row r="26" spans="1:11" x14ac:dyDescent="0.3">
      <c r="D26" s="23"/>
      <c r="E26" s="23"/>
    </row>
  </sheetData>
  <mergeCells count="2">
    <mergeCell ref="B1:C1"/>
    <mergeCell ref="A10:J10"/>
  </mergeCells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tabSelected="1" zoomScale="85" zoomScaleNormal="85" workbookViewId="0">
      <selection activeCell="W48" sqref="W48"/>
    </sheetView>
  </sheetViews>
  <sheetFormatPr defaultColWidth="9.109375" defaultRowHeight="14.4" x14ac:dyDescent="0.3"/>
  <cols>
    <col min="1" max="16384" width="9.109375" style="7"/>
  </cols>
  <sheetData/>
  <pageMargins left="0.511811024" right="0.511811024" top="0.78740157499999996" bottom="0.78740157499999996" header="0.31496062000000002" footer="0.31496062000000002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Dados_OS</vt:lpstr>
      <vt:lpstr>Tratamento de Dados 2025</vt:lpstr>
      <vt:lpstr>Planilha2</vt:lpstr>
      <vt:lpstr>Graficos de Custos 2025</vt:lpstr>
      <vt:lpstr>Tratamento de Dados 2026</vt:lpstr>
      <vt:lpstr>Graficos de Custos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Luz</cp:lastModifiedBy>
  <cp:lastPrinted>2026-05-04T14:05:16Z</cp:lastPrinted>
  <dcterms:created xsi:type="dcterms:W3CDTF">2026-02-19T12:56:04Z</dcterms:created>
  <dcterms:modified xsi:type="dcterms:W3CDTF">2026-06-09T10:54:00Z</dcterms:modified>
</cp:coreProperties>
</file>