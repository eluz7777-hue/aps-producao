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Y:\SGQ\INDICADORES DO SGQ\"/>
    </mc:Choice>
  </mc:AlternateContent>
  <bookViews>
    <workbookView xWindow="0" yWindow="0" windowWidth="19200" windowHeight="11490" tabRatio="833" firstSheet="4" activeTab="9"/>
  </bookViews>
  <sheets>
    <sheet name="ABSENTEISMO X HHT" sheetId="9" state="hidden" r:id="rId1"/>
    <sheet name="HORAS TERINAMENTOS X HHT" sheetId="6" state="hidden" r:id="rId2"/>
    <sheet name="Indicadores - Dados" sheetId="1" state="hidden" r:id="rId3"/>
    <sheet name="DASHBOARD" sheetId="3" state="hidden" r:id="rId4"/>
    <sheet name="01.2026" sheetId="72" r:id="rId5"/>
    <sheet name="02.2026" sheetId="73" r:id="rId6"/>
    <sheet name="03.2026" sheetId="74" r:id="rId7"/>
    <sheet name="04.2026" sheetId="75" r:id="rId8"/>
    <sheet name="INDICADORES 2026" sheetId="17" r:id="rId9"/>
    <sheet name="DASHBOARD 2026" sheetId="21" r:id="rId10"/>
    <sheet name="TB TREINAMENTOS" sheetId="26" state="hidden" r:id="rId11"/>
    <sheet name="TB HORAS EXTRAS" sheetId="25" state="hidden" r:id="rId12"/>
    <sheet name="TB ABSENTEISMO" sheetId="20" state="hidden" r:id="rId13"/>
    <sheet name="NUMERO DE FUNCIONARIOS" sheetId="4" state="hidden" r:id="rId14"/>
    <sheet name="SALARIOS" sheetId="5" state="hidden" r:id="rId15"/>
    <sheet name="TB FALTAS INJUSTIFICADAS" sheetId="22" state="hidden" r:id="rId16"/>
    <sheet name="FALTAS INJUSTIFICADAS X HHT" sheetId="7" state="hidden" r:id="rId17"/>
    <sheet name="HORAS EXTRAS X HHT" sheetId="10" state="hidden" r:id="rId18"/>
  </sheets>
  <definedNames>
    <definedName name="SegmentaçãodeDados_ANO">#N/A</definedName>
    <definedName name="SegmentaçãodeDados_MÊS">#N/A</definedName>
  </definedNames>
  <calcPr calcId="162913"/>
  <pivotCaches>
    <pivotCache cacheId="0" r:id="rId19"/>
    <pivotCache cacheId="13" r:id="rId20"/>
  </pivotCaches>
  <extLst>
    <ext xmlns:x14="http://schemas.microsoft.com/office/spreadsheetml/2009/9/main" uri="{BBE1A952-AA13-448e-AADC-164F8A28A991}">
      <x14:slicerCaches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75" l="1"/>
  <c r="S46" i="75"/>
  <c r="P46" i="75"/>
  <c r="M46" i="75"/>
  <c r="N46" i="75"/>
  <c r="C46" i="75"/>
  <c r="D46" i="75"/>
  <c r="E46" i="75"/>
  <c r="F46" i="75"/>
  <c r="G46" i="75"/>
  <c r="H46" i="75"/>
  <c r="I46" i="75"/>
  <c r="J46" i="75"/>
  <c r="K46" i="75"/>
  <c r="L46" i="75"/>
  <c r="O46" i="75"/>
  <c r="Q46" i="75"/>
  <c r="R46" i="75"/>
  <c r="S44" i="75"/>
  <c r="S24" i="75"/>
  <c r="S18" i="75"/>
  <c r="S14" i="75"/>
  <c r="S43" i="75"/>
  <c r="B46" i="75" l="1"/>
  <c r="S45" i="75"/>
  <c r="S42" i="75"/>
  <c r="S41" i="75"/>
  <c r="S40" i="75"/>
  <c r="S39" i="75"/>
  <c r="S38" i="75"/>
  <c r="S37" i="75"/>
  <c r="S36" i="75"/>
  <c r="S35" i="75"/>
  <c r="S34" i="75"/>
  <c r="S33" i="75"/>
  <c r="S32" i="75"/>
  <c r="S31" i="75"/>
  <c r="S30" i="75"/>
  <c r="S29" i="75"/>
  <c r="S28" i="75"/>
  <c r="S27" i="75"/>
  <c r="S26" i="75"/>
  <c r="S25" i="75"/>
  <c r="S23" i="75"/>
  <c r="S22" i="75"/>
  <c r="S21" i="75"/>
  <c r="S20" i="75"/>
  <c r="S19" i="75"/>
  <c r="S17" i="75"/>
  <c r="S16" i="75"/>
  <c r="S15" i="75"/>
  <c r="S13" i="75"/>
  <c r="S12" i="75"/>
  <c r="S11" i="75"/>
  <c r="S10" i="75"/>
  <c r="S9" i="75"/>
  <c r="S8" i="75"/>
  <c r="S7" i="75"/>
  <c r="S6" i="75"/>
  <c r="S5" i="75"/>
  <c r="S4" i="75"/>
  <c r="S3" i="75"/>
  <c r="S2" i="75"/>
  <c r="P2" i="74"/>
  <c r="K4" i="17"/>
  <c r="O45" i="74"/>
  <c r="J45" i="74"/>
  <c r="K45" i="74"/>
  <c r="L45" i="74"/>
  <c r="M45" i="74"/>
  <c r="N45" i="74"/>
  <c r="O3" i="74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F45" i="74"/>
  <c r="D45" i="74"/>
  <c r="E45" i="74"/>
  <c r="G45" i="74"/>
  <c r="H45" i="74"/>
  <c r="I45" i="74"/>
  <c r="C45" i="74"/>
  <c r="B45" i="74"/>
  <c r="B46" i="73" l="1"/>
  <c r="D46" i="73"/>
  <c r="F46" i="73"/>
  <c r="G46" i="73"/>
  <c r="H46" i="73"/>
  <c r="I46" i="73"/>
  <c r="J46" i="73"/>
  <c r="C46" i="73"/>
  <c r="K27" i="73"/>
  <c r="K8" i="73"/>
  <c r="K9" i="73"/>
  <c r="K10" i="73"/>
  <c r="K11" i="73"/>
  <c r="K12" i="73"/>
  <c r="K44" i="73"/>
  <c r="O2" i="74"/>
  <c r="K46" i="73" l="1"/>
  <c r="M49" i="72" l="1"/>
  <c r="L49" i="72"/>
  <c r="O2" i="72"/>
  <c r="F49" i="72"/>
  <c r="G49" i="72"/>
  <c r="H49" i="72"/>
  <c r="K49" i="72"/>
  <c r="E46" i="73" l="1"/>
  <c r="K45" i="73"/>
  <c r="K43" i="73"/>
  <c r="K42" i="73"/>
  <c r="K41" i="73"/>
  <c r="K40" i="73"/>
  <c r="K39" i="73"/>
  <c r="K38" i="73"/>
  <c r="K36" i="73"/>
  <c r="K35" i="73"/>
  <c r="K34" i="73"/>
  <c r="K33" i="73"/>
  <c r="K32" i="73"/>
  <c r="K31" i="73"/>
  <c r="K30" i="73"/>
  <c r="K29" i="73"/>
  <c r="K28" i="73"/>
  <c r="K26" i="73"/>
  <c r="K25" i="73"/>
  <c r="K24" i="73"/>
  <c r="K23" i="73"/>
  <c r="K22" i="73"/>
  <c r="K21" i="73"/>
  <c r="K20" i="73"/>
  <c r="K19" i="73"/>
  <c r="K18" i="73"/>
  <c r="K17" i="73"/>
  <c r="K16" i="73"/>
  <c r="K15" i="73"/>
  <c r="K14" i="73"/>
  <c r="K13" i="73"/>
  <c r="K7" i="73"/>
  <c r="K6" i="73"/>
  <c r="K5" i="73"/>
  <c r="K4" i="73"/>
  <c r="K3" i="73"/>
  <c r="L2" i="73"/>
  <c r="K2" i="73"/>
  <c r="E3" i="17" l="1"/>
  <c r="L3" i="17" s="1"/>
  <c r="J2" i="17"/>
  <c r="I49" i="72"/>
  <c r="N18" i="72"/>
  <c r="E49" i="72"/>
  <c r="N48" i="72"/>
  <c r="N47" i="72"/>
  <c r="N23" i="72"/>
  <c r="N8" i="72"/>
  <c r="O3" i="17" l="1"/>
  <c r="N3" i="17"/>
  <c r="M3" i="17"/>
  <c r="N45" i="72"/>
  <c r="J49" i="72"/>
  <c r="D49" i="72"/>
  <c r="C49" i="72"/>
  <c r="B49" i="72"/>
  <c r="N46" i="72"/>
  <c r="N44" i="72"/>
  <c r="N43" i="72"/>
  <c r="N42" i="72"/>
  <c r="N41" i="72"/>
  <c r="N39" i="72"/>
  <c r="N38" i="72"/>
  <c r="N37" i="72"/>
  <c r="N36" i="72"/>
  <c r="N35" i="72"/>
  <c r="N34" i="72"/>
  <c r="N33" i="72"/>
  <c r="N32" i="72"/>
  <c r="N31" i="72"/>
  <c r="N30" i="72"/>
  <c r="N29" i="72"/>
  <c r="N28" i="72"/>
  <c r="N27" i="72"/>
  <c r="N26" i="72"/>
  <c r="N25" i="72"/>
  <c r="N24" i="72"/>
  <c r="N22" i="72"/>
  <c r="N21" i="72"/>
  <c r="N20" i="72"/>
  <c r="N19" i="72"/>
  <c r="N17" i="72"/>
  <c r="N16" i="72"/>
  <c r="N15" i="72"/>
  <c r="N14" i="72"/>
  <c r="N13" i="72"/>
  <c r="N12" i="72"/>
  <c r="N11" i="72"/>
  <c r="N9" i="72"/>
  <c r="N7" i="72"/>
  <c r="N6" i="72"/>
  <c r="N5" i="72"/>
  <c r="N4" i="72"/>
  <c r="N3" i="72"/>
  <c r="N2" i="72"/>
  <c r="G14" i="17"/>
  <c r="H14" i="17"/>
  <c r="I14" i="17"/>
  <c r="N49" i="72" l="1"/>
  <c r="K2" i="17" s="1"/>
  <c r="E11" i="17" l="1"/>
  <c r="O11" i="17" l="1"/>
  <c r="J14" i="17" l="1"/>
  <c r="F14" i="17" l="1"/>
  <c r="D14" i="17"/>
  <c r="C14" i="17"/>
  <c r="E5" i="17" l="1"/>
  <c r="E4" i="17"/>
  <c r="O4" i="17" s="1"/>
  <c r="E6" i="17"/>
  <c r="E7" i="17"/>
  <c r="O7" i="17" s="1"/>
  <c r="E8" i="17"/>
  <c r="E9" i="17"/>
  <c r="E10" i="17"/>
  <c r="E12" i="17"/>
  <c r="O12" i="17" s="1"/>
  <c r="E13" i="17"/>
  <c r="E2" i="17"/>
  <c r="L2" i="17" s="1"/>
  <c r="L10" i="17" l="1"/>
  <c r="O10" i="17"/>
  <c r="L9" i="17"/>
  <c r="O9" i="17"/>
  <c r="L8" i="17"/>
  <c r="O8" i="17"/>
  <c r="E14" i="17"/>
  <c r="L14" i="17" l="1"/>
  <c r="M14" i="17"/>
  <c r="N14" i="17"/>
  <c r="N2" i="17"/>
  <c r="O13" i="17"/>
  <c r="N13" i="17"/>
  <c r="M13" i="17"/>
  <c r="L13" i="17"/>
  <c r="N12" i="17"/>
  <c r="M12" i="17"/>
  <c r="L12" i="17"/>
  <c r="N11" i="17"/>
  <c r="M11" i="17"/>
  <c r="L11" i="17"/>
  <c r="N10" i="17"/>
  <c r="M10" i="17"/>
  <c r="N9" i="17"/>
  <c r="M9" i="17"/>
  <c r="M6" i="17"/>
  <c r="I23" i="1"/>
  <c r="H23" i="1"/>
  <c r="E23" i="1" s="1"/>
  <c r="M2" i="17" l="1"/>
  <c r="N8" i="17"/>
  <c r="N7" i="17"/>
  <c r="M5" i="17"/>
  <c r="O6" i="17"/>
  <c r="M8" i="17"/>
  <c r="N6" i="17"/>
  <c r="L6" i="17"/>
  <c r="L23" i="1"/>
  <c r="M23" i="1"/>
  <c r="N23" i="1"/>
  <c r="O23" i="1"/>
  <c r="L24" i="1"/>
  <c r="L25" i="1"/>
  <c r="L26" i="1"/>
  <c r="L27" i="1"/>
  <c r="L28" i="1"/>
  <c r="L29" i="1"/>
  <c r="M24" i="1"/>
  <c r="M25" i="1"/>
  <c r="M26" i="1"/>
  <c r="M27" i="1"/>
  <c r="M28" i="1"/>
  <c r="M29" i="1"/>
  <c r="N24" i="1"/>
  <c r="N25" i="1"/>
  <c r="N26" i="1"/>
  <c r="N27" i="1"/>
  <c r="N28" i="1"/>
  <c r="N29" i="1"/>
  <c r="O24" i="1"/>
  <c r="O25" i="1"/>
  <c r="O26" i="1"/>
  <c r="O27" i="1"/>
  <c r="O28" i="1"/>
  <c r="O29" i="1"/>
  <c r="L5" i="17" l="1"/>
  <c r="N5" i="17"/>
  <c r="M4" i="17"/>
  <c r="L4" i="17"/>
  <c r="N4" i="17"/>
  <c r="M7" i="17"/>
  <c r="L7" i="17"/>
  <c r="I22" i="1"/>
  <c r="H22" i="1"/>
  <c r="E22" i="1" l="1"/>
  <c r="N22" i="1" s="1"/>
  <c r="O22" i="1" l="1"/>
  <c r="M22" i="1"/>
  <c r="L22" i="1"/>
  <c r="H21" i="1"/>
  <c r="I20" i="1"/>
  <c r="H20" i="1"/>
  <c r="E18" i="1"/>
  <c r="H19" i="1"/>
  <c r="I19" i="1"/>
  <c r="E17" i="1"/>
  <c r="E15" i="1"/>
  <c r="I16" i="1"/>
  <c r="H16" i="1"/>
  <c r="E16" i="1" s="1"/>
  <c r="E12" i="1"/>
  <c r="E13" i="1"/>
  <c r="E14" i="1"/>
  <c r="K18" i="1" l="1"/>
  <c r="O18" i="1" s="1"/>
  <c r="K17" i="1"/>
  <c r="O17" i="1" s="1"/>
  <c r="L12" i="1"/>
  <c r="N12" i="1"/>
  <c r="M12" i="1"/>
  <c r="L15" i="1"/>
  <c r="N15" i="1"/>
  <c r="M15" i="1"/>
  <c r="E21" i="1"/>
  <c r="N21" i="1" s="1"/>
  <c r="L16" i="1"/>
  <c r="M16" i="1"/>
  <c r="N16" i="1"/>
  <c r="L17" i="1"/>
  <c r="M17" i="1"/>
  <c r="N17" i="1"/>
  <c r="E20" i="1"/>
  <c r="N20" i="1" s="1"/>
  <c r="M14" i="1"/>
  <c r="L14" i="1"/>
  <c r="N14" i="1"/>
  <c r="E19" i="1"/>
  <c r="N19" i="1" s="1"/>
  <c r="M13" i="1"/>
  <c r="N13" i="1"/>
  <c r="L13" i="1"/>
  <c r="N18" i="1"/>
  <c r="L18" i="1"/>
  <c r="M18" i="1"/>
  <c r="K6" i="1"/>
  <c r="K7" i="1"/>
  <c r="K8" i="1"/>
  <c r="K9" i="1"/>
  <c r="K10" i="1"/>
  <c r="K11" i="1"/>
  <c r="K12" i="1"/>
  <c r="O12" i="1" s="1"/>
  <c r="K13" i="1"/>
  <c r="O13" i="1" s="1"/>
  <c r="K14" i="1"/>
  <c r="O14" i="1" s="1"/>
  <c r="K15" i="1"/>
  <c r="O15" i="1" s="1"/>
  <c r="K16" i="1"/>
  <c r="O16" i="1" s="1"/>
  <c r="K5" i="1"/>
  <c r="O2" i="17" l="1"/>
  <c r="L20" i="1"/>
  <c r="O20" i="1"/>
  <c r="M20" i="1"/>
  <c r="O21" i="1"/>
  <c r="L21" i="1"/>
  <c r="M21" i="1"/>
  <c r="O19" i="1"/>
  <c r="M19" i="1"/>
  <c r="L19" i="1"/>
  <c r="E5" i="1"/>
  <c r="O5" i="1" s="1"/>
  <c r="D6" i="1"/>
  <c r="D5" i="1"/>
  <c r="M5" i="1" l="1"/>
  <c r="L5" i="1"/>
  <c r="N5" i="1"/>
  <c r="E6" i="1"/>
  <c r="E7" i="1"/>
  <c r="E8" i="1"/>
  <c r="E9" i="1"/>
  <c r="E10" i="1"/>
  <c r="E11" i="1"/>
  <c r="M10" i="1" l="1"/>
  <c r="L10" i="1"/>
  <c r="N10" i="1"/>
  <c r="O10" i="1"/>
  <c r="M6" i="1"/>
  <c r="L6" i="1"/>
  <c r="N6" i="1"/>
  <c r="O6" i="1"/>
  <c r="M9" i="1"/>
  <c r="N9" i="1"/>
  <c r="L9" i="1"/>
  <c r="O9" i="1"/>
  <c r="L8" i="1"/>
  <c r="N8" i="1"/>
  <c r="M8" i="1"/>
  <c r="O8" i="1"/>
  <c r="L11" i="1"/>
  <c r="N11" i="1"/>
  <c r="M11" i="1"/>
  <c r="O11" i="1"/>
  <c r="L7" i="1"/>
  <c r="N7" i="1"/>
  <c r="M7" i="1"/>
  <c r="O7" i="1"/>
  <c r="K14" i="17" l="1"/>
  <c r="O14" i="17" s="1"/>
  <c r="O5" i="17"/>
</calcChain>
</file>

<file path=xl/sharedStrings.xml><?xml version="1.0" encoding="utf-8"?>
<sst xmlns="http://schemas.openxmlformats.org/spreadsheetml/2006/main" count="452" uniqueCount="106">
  <si>
    <t>ANO</t>
  </si>
  <si>
    <t>Rótulos de Linha</t>
  </si>
  <si>
    <t>Soma de ABSENTEÍSMO</t>
  </si>
  <si>
    <t>Soma de META 1,5%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</si>
  <si>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</si>
  <si>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</si>
  <si>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</si>
  <si>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</si>
  <si>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</si>
  <si>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</si>
  <si>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</si>
  <si>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</si>
  <si>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</si>
  <si>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</si>
  <si>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</si>
  <si>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</si>
  <si>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Geral</t>
  </si>
  <si>
    <t>Soma de HORAS DE TREINAMENTO / HHT</t>
  </si>
  <si>
    <t>Soma de META 1,2%</t>
  </si>
  <si>
    <t>NOME</t>
  </si>
  <si>
    <t>BRUNO HENRIQUE VARGAS CAMPANARO</t>
  </si>
  <si>
    <t>EDSON VIANA SANTOS</t>
  </si>
  <si>
    <t>ERICK ALLAN GOULART SILVA</t>
  </si>
  <si>
    <t>LUIZ FABRICIO DIAS</t>
  </si>
  <si>
    <t>VALDEMIR DA SILVA</t>
  </si>
  <si>
    <t>TOTAL</t>
  </si>
  <si>
    <t>JOSÉ MARCIO CONSTANTINO</t>
  </si>
  <si>
    <t>MELCHIADES OLINTHO DOS SANTOS</t>
  </si>
  <si>
    <t>INDICADORES DO DEPARTAMENTO DE RECURSOS HUMANOS</t>
  </si>
  <si>
    <t>MÊS</t>
  </si>
  <si>
    <t>N° DE FUNCIONÁRIOS</t>
  </si>
  <si>
    <t>SALÁRIOS</t>
  </si>
  <si>
    <t>HHT</t>
  </si>
  <si>
    <t>FALTAS JUSTIFICADAS (horas)</t>
  </si>
  <si>
    <t>FALTAS INJUSTIFICDAS (horas)</t>
  </si>
  <si>
    <t>QUANT. DE HORAS EXTRAS</t>
  </si>
  <si>
    <t>VALOR DAS HORAS EXTRAS</t>
  </si>
  <si>
    <t>NUMERO DE TREINAMENTOS</t>
  </si>
  <si>
    <t>HORAS DE TREINAMENTOS</t>
  </si>
  <si>
    <t>ABSENTEÍSMO</t>
  </si>
  <si>
    <t>FALTAS INJUSTIFICADAS / HHT</t>
  </si>
  <si>
    <t>HORAS EXTRAS / HHT</t>
  </si>
  <si>
    <t>HORAS DE TREINAMENTO / HHT</t>
  </si>
  <si>
    <t>META 1,2%</t>
  </si>
  <si>
    <t>META 1,5%</t>
  </si>
  <si>
    <t>META 6%</t>
  </si>
  <si>
    <t>2.263,35‬</t>
  </si>
  <si>
    <t>JOSIMAR LEITE GONÇALVES</t>
  </si>
  <si>
    <t>LUCAS DE ASSIS RUFINO</t>
  </si>
  <si>
    <t>LUIZ GUSTAVO RIBEIRO</t>
  </si>
  <si>
    <t>ANTONIO MARCOS RIBEIRO</t>
  </si>
  <si>
    <t>CARLOS ALBERTO DE FARIA</t>
  </si>
  <si>
    <t>META 3%</t>
  </si>
  <si>
    <t>META 4,5%</t>
  </si>
  <si>
    <t>Nº DE  MESES</t>
  </si>
  <si>
    <t>Media</t>
  </si>
  <si>
    <t>(Tudo)</t>
  </si>
  <si>
    <t>Soma de HORAS EXTRAS / HHT</t>
  </si>
  <si>
    <t>Soma de META 6%</t>
  </si>
  <si>
    <t>Soma de N° DE FUNCIONÁRIOS</t>
  </si>
  <si>
    <t>Soma de SALÁRIOS</t>
  </si>
  <si>
    <t>Soma de FALTAS INJUSTIFICADAS / HHT</t>
  </si>
  <si>
    <t>ISABELLA RIBEIRO</t>
  </si>
  <si>
    <t>MICHAEL VINICIUS BATISTA</t>
  </si>
  <si>
    <t>ANDRÉ LUIZ SILVA</t>
  </si>
  <si>
    <t>PEDRO LUCAS RODRIGUES SERAFIM</t>
  </si>
  <si>
    <t>ANNA CAROLINA SILVA LUZ</t>
  </si>
  <si>
    <t>EDUARDO RIVELINO LUZ</t>
  </si>
  <si>
    <t>ELIZA GLAUCIELE NORA</t>
  </si>
  <si>
    <t>NATALIA CAROLINE DOS SANTOS</t>
  </si>
  <si>
    <t>SIDNEY GERALDO MARINHO</t>
  </si>
  <si>
    <t>MARCELO BAPTISTA</t>
  </si>
  <si>
    <t>ROBISON RONAN FERRAZ</t>
  </si>
  <si>
    <t>ALAN CARLOS MORATO</t>
  </si>
  <si>
    <t xml:space="preserve">ANA CAMILA SALOMON CAMPOS </t>
  </si>
  <si>
    <t>ANDERSON FERNADES CLAUDINO</t>
  </si>
  <si>
    <t>BRUNO HENRIQUE DOS SANTOS DIAS</t>
  </si>
  <si>
    <t>CLEYTON WLADIMIR SILVA</t>
  </si>
  <si>
    <t>EZEQUIEL ALUIZIO DA SILVA</t>
  </si>
  <si>
    <t>JOAO BATISTA SOARES</t>
  </si>
  <si>
    <t>JOÃO MARCOS DA COSTA JUNIOR</t>
  </si>
  <si>
    <t>JOÃO PAULO FERMINO CARLOS</t>
  </si>
  <si>
    <t>JOSE ALMIR TOME</t>
  </si>
  <si>
    <t xml:space="preserve">LAYON AMOS DUARTE RIBEIRO </t>
  </si>
  <si>
    <t>MARCELO RIBEIRO DE OLIVEIRA</t>
  </si>
  <si>
    <t xml:space="preserve">MARCIO MIGUEL DE OLIVEIRA </t>
  </si>
  <si>
    <t>MARIA PAULA DA SILVA BRAGA</t>
  </si>
  <si>
    <t>MERIANE DOZINETE GONÇALVES</t>
  </si>
  <si>
    <t>SILVIONEI APARECIDO DA SILVA</t>
  </si>
  <si>
    <t>RAMON AZEVEDO GONÇALVES</t>
  </si>
  <si>
    <t>VICTOR GABRIEL SILVA SANTOS</t>
  </si>
  <si>
    <t>JOÃO VICTOR DOS SANTOS DE OLIVEIRA</t>
  </si>
  <si>
    <t>FELIPE HENRIQUE DO ESPIRITO SANTO</t>
  </si>
  <si>
    <t>WILLIAM CESAR DOMICIANO FERREIRA FILHO</t>
  </si>
  <si>
    <t>YAGO MARINHO DE OLIVEIRA</t>
  </si>
  <si>
    <t>Soma de META 4,5%</t>
  </si>
  <si>
    <t>LUIZ GABRIEL EMYDGIO ALVES</t>
  </si>
  <si>
    <t>BRUNO PAZ XAVIER</t>
  </si>
  <si>
    <t>RUAN FAUSTINO CATARINO</t>
  </si>
  <si>
    <t>]</t>
  </si>
  <si>
    <t>RICARDO MACHADO PEREIRA</t>
  </si>
  <si>
    <t>THIAGO LUIS SILVA SOUSA</t>
  </si>
  <si>
    <t>WISLLEY CARLY ANDRE DE ALMEIDA</t>
  </si>
  <si>
    <t>GERALDO CAMILO SIQUEIRA CARDOSO</t>
  </si>
  <si>
    <t>JOAO PAULO GOMES BITENCOURT</t>
  </si>
  <si>
    <t>LUCAS DE JESUS RANGEL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</si>
</sst>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0"/>
      <name val="Bodoni MT"/>
      <family val="1"/>
    </font>
    <font>
      <b/>
      <sz val="11"/>
      <color theme="1"/>
      <name val="Bahnschrift"/>
      <family val="2"/>
    </font>
    <font>
      <sz val="11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b/>
      <sz val="12"/>
      <color theme="1" tint="4.9989318521683403E-2"/>
      <name val="Bahnschrift"/>
      <family val="2"/>
    </font>
    <font>
      <b/>
      <sz val="12"/>
      <color theme="1"/>
      <name val="Bahnschrift"/>
      <family val="2"/>
    </font>
    <font>
      <sz val="12"/>
      <color theme="1"/>
      <name val="Bookman Old Style"/>
      <family val="1"/>
    </font>
    <font>
      <b/>
      <sz val="12"/>
      <color theme="0"/>
      <name val="Bahnschrift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867A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C95B9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4205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0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5" fillId="9" borderId="1" xfId="0" applyFont="1" applyFill="1" applyBorder="1" applyAlignment="1">
      <alignment horizontal="center"/>
    </xf>
    <xf numFmtId="10" fontId="5" fillId="9" borderId="1" xfId="1" applyNumberFormat="1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10" fontId="5" fillId="9" borderId="3" xfId="1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  <xf numFmtId="0" fontId="4" fillId="9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10" fontId="5" fillId="7" borderId="1" xfId="1" applyNumberFormat="1" applyFont="1" applyFill="1" applyBorder="1" applyAlignment="1">
      <alignment horizontal="center"/>
    </xf>
    <xf numFmtId="10" fontId="5" fillId="8" borderId="2" xfId="1" applyNumberFormat="1" applyFont="1" applyFill="1" applyBorder="1" applyAlignment="1">
      <alignment horizontal="center"/>
    </xf>
    <xf numFmtId="10" fontId="5" fillId="7" borderId="3" xfId="1" applyNumberFormat="1" applyFont="1" applyFill="1" applyBorder="1" applyAlignment="1">
      <alignment horizontal="center"/>
    </xf>
    <xf numFmtId="10" fontId="5" fillId="8" borderId="4" xfId="1" applyNumberFormat="1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8" fillId="9" borderId="11" xfId="0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/>
    </xf>
    <xf numFmtId="0" fontId="8" fillId="10" borderId="10" xfId="0" applyFont="1" applyFill="1" applyBorder="1" applyAlignment="1">
      <alignment horizontal="center"/>
    </xf>
    <xf numFmtId="0" fontId="8" fillId="10" borderId="12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4" fontId="9" fillId="9" borderId="5" xfId="0" applyNumberFormat="1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10" fontId="9" fillId="9" borderId="5" xfId="1" applyNumberFormat="1" applyFont="1" applyFill="1" applyBorder="1" applyAlignment="1">
      <alignment horizontal="center"/>
    </xf>
    <xf numFmtId="10" fontId="9" fillId="7" borderId="5" xfId="1" applyNumberFormat="1" applyFont="1" applyFill="1" applyBorder="1" applyAlignment="1">
      <alignment horizontal="center"/>
    </xf>
    <xf numFmtId="10" fontId="9" fillId="8" borderId="6" xfId="1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10" fontId="9" fillId="10" borderId="1" xfId="1" applyNumberFormat="1" applyFont="1" applyFill="1" applyBorder="1" applyAlignment="1">
      <alignment horizontal="center"/>
    </xf>
    <xf numFmtId="10" fontId="9" fillId="7" borderId="1" xfId="1" applyNumberFormat="1" applyFont="1" applyFill="1" applyBorder="1" applyAlignment="1">
      <alignment horizontal="center"/>
    </xf>
    <xf numFmtId="10" fontId="9" fillId="8" borderId="2" xfId="1" applyNumberFormat="1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10" fontId="9" fillId="10" borderId="3" xfId="1" applyNumberFormat="1" applyFont="1" applyFill="1" applyBorder="1" applyAlignment="1">
      <alignment horizontal="center"/>
    </xf>
    <xf numFmtId="10" fontId="9" fillId="7" borderId="3" xfId="1" applyNumberFormat="1" applyFont="1" applyFill="1" applyBorder="1" applyAlignment="1">
      <alignment horizontal="center"/>
    </xf>
    <xf numFmtId="10" fontId="9" fillId="8" borderId="4" xfId="1" applyNumberFormat="1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10" fontId="9" fillId="10" borderId="7" xfId="1" applyNumberFormat="1" applyFont="1" applyFill="1" applyBorder="1" applyAlignment="1">
      <alignment horizontal="center"/>
    </xf>
    <xf numFmtId="10" fontId="9" fillId="7" borderId="7" xfId="1" applyNumberFormat="1" applyFont="1" applyFill="1" applyBorder="1" applyAlignment="1">
      <alignment horizontal="center"/>
    </xf>
    <xf numFmtId="10" fontId="9" fillId="8" borderId="8" xfId="1" applyNumberFormat="1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10" fontId="9" fillId="10" borderId="5" xfId="1" applyNumberFormat="1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5" borderId="14" xfId="0" applyFont="1" applyFill="1" applyBorder="1" applyAlignment="1">
      <alignment horizontal="center"/>
    </xf>
    <xf numFmtId="10" fontId="9" fillId="5" borderId="14" xfId="1" applyNumberFormat="1" applyFont="1" applyFill="1" applyBorder="1" applyAlignment="1">
      <alignment horizontal="center"/>
    </xf>
    <xf numFmtId="10" fontId="9" fillId="7" borderId="14" xfId="1" applyNumberFormat="1" applyFont="1" applyFill="1" applyBorder="1" applyAlignment="1">
      <alignment horizontal="center"/>
    </xf>
    <xf numFmtId="10" fontId="9" fillId="8" borderId="15" xfId="1" applyNumberFormat="1" applyFont="1" applyFill="1" applyBorder="1" applyAlignment="1">
      <alignment horizontal="center"/>
    </xf>
    <xf numFmtId="4" fontId="9" fillId="10" borderId="1" xfId="0" applyNumberFormat="1" applyFont="1" applyFill="1" applyBorder="1" applyAlignment="1">
      <alignment horizontal="center"/>
    </xf>
    <xf numFmtId="2" fontId="5" fillId="9" borderId="3" xfId="0" applyNumberFormat="1" applyFont="1" applyFill="1" applyBorder="1" applyAlignment="1">
      <alignment horizontal="center"/>
    </xf>
    <xf numFmtId="4" fontId="9" fillId="10" borderId="7" xfId="0" applyNumberFormat="1" applyFont="1" applyFill="1" applyBorder="1" applyAlignment="1">
      <alignment horizontal="center"/>
    </xf>
    <xf numFmtId="4" fontId="9" fillId="10" borderId="3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 vertical="center"/>
    </xf>
    <xf numFmtId="10" fontId="0" fillId="0" borderId="0" xfId="0" applyNumberFormat="1"/>
    <xf numFmtId="0" fontId="0" fillId="0" borderId="0" xfId="0" applyNumberFormat="1"/>
    <xf numFmtId="0" fontId="14" fillId="17" borderId="16" xfId="0" applyFont="1" applyFill="1" applyBorder="1" applyAlignment="1">
      <alignment horizontal="center"/>
    </xf>
    <xf numFmtId="16" fontId="14" fillId="17" borderId="16" xfId="0" applyNumberFormat="1" applyFont="1" applyFill="1" applyBorder="1" applyAlignment="1">
      <alignment horizontal="center"/>
    </xf>
    <xf numFmtId="0" fontId="0" fillId="5" borderId="16" xfId="0" applyFill="1" applyBorder="1"/>
    <xf numFmtId="0" fontId="6" fillId="18" borderId="16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/>
    </xf>
    <xf numFmtId="0" fontId="0" fillId="19" borderId="19" xfId="0" applyFill="1" applyBorder="1" applyAlignment="1">
      <alignment horizontal="center"/>
    </xf>
    <xf numFmtId="0" fontId="11" fillId="11" borderId="16" xfId="0" applyFont="1" applyFill="1" applyBorder="1" applyAlignment="1">
      <alignment horizontal="right"/>
    </xf>
    <xf numFmtId="0" fontId="12" fillId="11" borderId="16" xfId="0" applyFont="1" applyFill="1" applyBorder="1" applyAlignment="1">
      <alignment horizontal="center"/>
    </xf>
    <xf numFmtId="0" fontId="11" fillId="20" borderId="16" xfId="0" applyFont="1" applyFill="1" applyBorder="1" applyAlignment="1">
      <alignment horizontal="center"/>
    </xf>
    <xf numFmtId="0" fontId="10" fillId="21" borderId="17" xfId="0" applyFont="1" applyFill="1" applyBorder="1" applyAlignment="1">
      <alignment horizontal="center" vertical="center" wrapText="1"/>
    </xf>
    <xf numFmtId="0" fontId="10" fillId="21" borderId="21" xfId="0" applyFont="1" applyFill="1" applyBorder="1" applyAlignment="1">
      <alignment horizontal="center" vertical="center" wrapText="1"/>
    </xf>
    <xf numFmtId="0" fontId="10" fillId="21" borderId="22" xfId="0" applyFont="1" applyFill="1" applyBorder="1" applyAlignment="1">
      <alignment horizontal="center" vertical="center" wrapText="1"/>
    </xf>
    <xf numFmtId="0" fontId="10" fillId="21" borderId="23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44" fontId="9" fillId="14" borderId="20" xfId="2" applyFont="1" applyFill="1" applyBorder="1" applyAlignment="1">
      <alignment horizontal="center" vertical="center"/>
    </xf>
    <xf numFmtId="2" fontId="9" fillId="14" borderId="20" xfId="0" applyNumberFormat="1" applyFont="1" applyFill="1" applyBorder="1" applyAlignment="1">
      <alignment horizontal="center" vertical="center"/>
    </xf>
    <xf numFmtId="10" fontId="9" fillId="14" borderId="20" xfId="1" applyNumberFormat="1" applyFont="1" applyFill="1" applyBorder="1" applyAlignment="1">
      <alignment horizontal="center" vertical="center"/>
    </xf>
    <xf numFmtId="10" fontId="9" fillId="10" borderId="20" xfId="1" applyNumberFormat="1" applyFont="1" applyFill="1" applyBorder="1" applyAlignment="1">
      <alignment horizontal="center" vertical="center"/>
    </xf>
    <xf numFmtId="10" fontId="9" fillId="7" borderId="20" xfId="1" applyNumberFormat="1" applyFont="1" applyFill="1" applyBorder="1" applyAlignment="1">
      <alignment horizontal="center" vertical="center"/>
    </xf>
    <xf numFmtId="10" fontId="9" fillId="8" borderId="25" xfId="1" applyNumberFormat="1" applyFont="1" applyFill="1" applyBorder="1" applyAlignment="1">
      <alignment horizontal="center" vertical="center"/>
    </xf>
    <xf numFmtId="0" fontId="9" fillId="15" borderId="27" xfId="0" applyFont="1" applyFill="1" applyBorder="1" applyAlignment="1">
      <alignment horizontal="center" vertical="center"/>
    </xf>
    <xf numFmtId="2" fontId="9" fillId="15" borderId="27" xfId="0" applyNumberFormat="1" applyFont="1" applyFill="1" applyBorder="1" applyAlignment="1">
      <alignment horizontal="center" vertical="center"/>
    </xf>
    <xf numFmtId="44" fontId="9" fillId="15" borderId="27" xfId="2" applyFont="1" applyFill="1" applyBorder="1" applyAlignment="1">
      <alignment horizontal="center" vertical="center"/>
    </xf>
    <xf numFmtId="10" fontId="9" fillId="15" borderId="27" xfId="0" applyNumberFormat="1" applyFont="1" applyFill="1" applyBorder="1" applyAlignment="1">
      <alignment horizontal="center" vertical="center"/>
    </xf>
    <xf numFmtId="10" fontId="9" fillId="15" borderId="27" xfId="1" applyNumberFormat="1" applyFont="1" applyFill="1" applyBorder="1" applyAlignment="1">
      <alignment horizontal="center" vertical="center"/>
    </xf>
    <xf numFmtId="10" fontId="9" fillId="15" borderId="28" xfId="1" applyNumberFormat="1" applyFont="1" applyFill="1" applyBorder="1" applyAlignment="1">
      <alignment horizontal="center" vertical="center"/>
    </xf>
    <xf numFmtId="0" fontId="8" fillId="15" borderId="26" xfId="0" applyFont="1" applyFill="1" applyBorder="1" applyAlignment="1">
      <alignment horizontal="center" vertical="center"/>
    </xf>
    <xf numFmtId="0" fontId="0" fillId="17" borderId="0" xfId="0" applyFill="1"/>
    <xf numFmtId="0" fontId="15" fillId="5" borderId="16" xfId="0" applyFont="1" applyFill="1" applyBorder="1"/>
    <xf numFmtId="0" fontId="0" fillId="5" borderId="16" xfId="0" applyFont="1" applyFill="1" applyBorder="1"/>
    <xf numFmtId="0" fontId="16" fillId="5" borderId="16" xfId="0" applyFont="1" applyFill="1" applyBorder="1"/>
    <xf numFmtId="0" fontId="3" fillId="13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</cellXfs>
  <cellStyles count="4">
    <cellStyle name="Moeda" xfId="2" builtinId="4"/>
    <cellStyle name="Moeda 2" xfId="3"/>
    <cellStyle name="Normal" xfId="0" builtinId="0"/>
    <cellStyle name="Porcentagem" xfId="1" builtinId="5"/>
  </cellStyles>
  <dxfs count="73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14" formatCode="0.00%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14" formatCode="0.00%"/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14" formatCode="0.00%"/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14" formatCode="0.00%"/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14" formatCode="0.00%"/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Bahnschrift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7C80"/>
        </patternFill>
      </fill>
    </dxf>
    <dxf>
      <fill>
        <patternFill>
          <bgColor rgb="FFCCFFCC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14" formatCode="0.00%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 style="medium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14" formatCode="0.00%"/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14" formatCode="0.00%"/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</border>
    </dxf>
    <dxf>
      <font>
        <strike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</border>
    </dxf>
    <dxf>
      <font>
        <b/>
        <strike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</border>
    </dxf>
    <dxf>
      <font>
        <b/>
        <strike val="0"/>
        <outline val="0"/>
        <shadow val="0"/>
        <u val="none"/>
        <vertAlign val="baseline"/>
        <sz val="12"/>
        <color theme="1" tint="4.9989318521683403E-2"/>
        <name val="Bahnschrift"/>
        <scheme val="none"/>
      </font>
      <fill>
        <patternFill patternType="solid">
          <fgColor indexed="64"/>
          <bgColor rgb="FFA42059"/>
        </patternFill>
      </fill>
      <alignment horizontal="center" vertical="center" textRotation="0" wrapText="1" indent="0" justifyLastLine="0" shrinkToFit="0" readingOrder="0"/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7C80"/>
        </patternFill>
      </fill>
    </dxf>
    <dxf>
      <fill>
        <patternFill>
          <bgColor rgb="FFCC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3" defaultTableStyle="TableStyleMedium2" defaultPivotStyle="PivotStyleLight16">
    <tableStyle name="Estilo de Tabela Dinâmica 1" table="0" count="0"/>
    <tableStyle name="Estilo de Tabela Dinâmica 2" table="0" count="1">
      <tableStyleElement type="totalRow" dxfId="72"/>
    </tableStyle>
    <tableStyle name="Estilo de Tabela Dinâmica 3" table="0" count="0"/>
  </tableStyles>
  <colors>
    <mruColors>
      <color rgb="FF2867A0"/>
      <color rgb="FFA42059"/>
      <color rgb="FF99FF99"/>
      <color rgb="FF800080"/>
      <color rgb="FFCCECFF"/>
      <color rgb="FFFFCCFF"/>
      <color rgb="FFCC99FF"/>
      <color rgb="FFCCFFCC"/>
      <color rgb="FFF7BA0D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2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[Indicadores 2026 ATUAL.xlsx]NUMERO DE FUNCIONARIOS!Tabela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3000">
                <a:solidFill>
                  <a:schemeClr val="tx1"/>
                </a:solidFill>
                <a:latin typeface="Arial Rounded MT Bold" panose="020F0704030504030204" pitchFamily="34" charset="0"/>
              </a:rPr>
              <a:t>N° DE FUNCIONÁRIOS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baseline="0">
              <a:solidFill>
                <a:schemeClr val="tx1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c:spPr>
      </c:pivotFmt>
    </c:pivotFmts>
    <c:plotArea>
      <c:layout>
        <c:manualLayout>
          <c:layoutTarget val="inner"/>
          <c:xMode val="edge"/>
          <c:yMode val="edge"/>
          <c:x val="6.6580927384076991E-2"/>
          <c:y val="0.18300925925925926"/>
          <c:w val="0.90286351706036749"/>
          <c:h val="0.70959135316418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'NUMERO DE FUNCIONARIOS'!$B$3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'NUMERO DE FUNCIONARIOS'!$A$4:$A$16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'NUMERO DE FUNCIONARIOS'!$B$4:$B$16</c:f>
              <c:numCache>
                <c:formatCode>General</c:formatCode>
                <c:ptCount val="12"/>
                <c:pt idx="0">
                  <c:v>27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0-4898-A01B-1D9B72CEE6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7022184"/>
        <c:axId val="397022840"/>
      </c:barChart>
      <c:catAx>
        <c:axId val="39702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pt-BR"/>
          </a:p>
        </c:txPr>
        <c:crossAx val="397022840"/>
        <c:crosses val="autoZero"/>
        <c:auto val="1"/>
        <c:lblAlgn val="ctr"/>
        <c:lblOffset val="100"/>
        <c:noMultiLvlLbl val="0"/>
      </c:catAx>
      <c:valAx>
        <c:axId val="39702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pt-BR"/>
          </a:p>
        </c:txPr>
        <c:crossAx val="39702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ATUAL.xlsx]SALARIOS!Tabela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pt-BR" sz="3000">
                <a:solidFill>
                  <a:schemeClr val="tx1"/>
                </a:solidFill>
                <a:latin typeface="Arial Rounded MT Bold" panose="020F0704030504030204" pitchFamily="34" charset="0"/>
              </a:rPr>
              <a:t>SALÁRIOS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baseline="0">
              <a:solidFill>
                <a:schemeClr val="tx1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436649964209019"/>
          <c:y val="0.17510520487264675"/>
          <c:w val="0.86563350035790976"/>
          <c:h val="0.72213391930659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SALARIOS!$B$3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cat>
            <c:strRef>
              <c:f>SALARIOS!$A$4:$A$16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SALARIOS!$B$4:$B$16</c:f>
              <c:numCache>
                <c:formatCode>General</c:formatCode>
                <c:ptCount val="12"/>
                <c:pt idx="0">
                  <c:v>61011.13</c:v>
                </c:pt>
                <c:pt idx="1">
                  <c:v>54585.35</c:v>
                </c:pt>
                <c:pt idx="2">
                  <c:v>55022.55</c:v>
                </c:pt>
                <c:pt idx="3">
                  <c:v>63688.01</c:v>
                </c:pt>
                <c:pt idx="4">
                  <c:v>67510.149999999994</c:v>
                </c:pt>
                <c:pt idx="5">
                  <c:v>64857.93</c:v>
                </c:pt>
                <c:pt idx="6">
                  <c:v>66370.91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8-4BFA-AC01-E355DB344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0059256"/>
        <c:axId val="630054992"/>
      </c:barChart>
      <c:catAx>
        <c:axId val="63005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pt-BR"/>
          </a:p>
        </c:txPr>
        <c:crossAx val="630054992"/>
        <c:crosses val="autoZero"/>
        <c:auto val="1"/>
        <c:lblAlgn val="ctr"/>
        <c:lblOffset val="100"/>
        <c:noMultiLvlLbl val="0"/>
      </c:catAx>
      <c:valAx>
        <c:axId val="63005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pt-BR"/>
          </a:p>
        </c:txPr>
        <c:crossAx val="63005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ATUAL.xlsx]HORAS TERINAMENTOS X HHT!Tabela dinâmica4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pt-BR" sz="3000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HORAS DE TREINAMENTO/HHT</a:t>
            </a:r>
            <a:r>
              <a:rPr lang="pt-BR" sz="3000" baseline="0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      </a:t>
            </a:r>
            <a:r>
              <a:rPr lang="pt-BR" sz="1400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META: ACIMA DE 1,2%</a:t>
            </a:r>
          </a:p>
        </c:rich>
      </c:tx>
      <c:layout>
        <c:manualLayout>
          <c:xMode val="edge"/>
          <c:yMode val="edge"/>
          <c:x val="0.13216317313897594"/>
          <c:y val="1.1759259259259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1.6666666666666566E-2"/>
              <c:y val="-4.6296296296297144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1.0185067526415994E-16"/>
              <c:y val="-4.1666666666666664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5.5555555555556061E-3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5.0925337632079971E-17"/>
              <c:y val="-5.5555555555555552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CE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CECFF"/>
          </a:solidFill>
          <a:ln>
            <a:noFill/>
          </a:ln>
          <a:effectLst/>
        </c:spPr>
      </c:pivotFmt>
      <c:pivotFmt>
        <c:idx val="9"/>
        <c:spPr>
          <a:solidFill>
            <a:srgbClr val="CCECFF"/>
          </a:solidFill>
          <a:ln>
            <a:noFill/>
          </a:ln>
          <a:effectLst/>
        </c:spPr>
      </c:pivotFmt>
      <c:pivotFmt>
        <c:idx val="10"/>
        <c:spPr>
          <a:solidFill>
            <a:srgbClr val="CCECFF"/>
          </a:solidFill>
          <a:ln>
            <a:noFill/>
          </a:ln>
          <a:effectLst/>
        </c:spPr>
      </c:pivotFmt>
      <c:pivotFmt>
        <c:idx val="11"/>
        <c:spPr>
          <a:solidFill>
            <a:srgbClr val="CCECFF"/>
          </a:solidFill>
          <a:ln>
            <a:noFill/>
          </a:ln>
          <a:effectLst/>
        </c:spP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565079188363279"/>
          <c:y val="0.15741784037558684"/>
          <c:w val="0.87355648131396935"/>
          <c:h val="0.705501090532697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'HORAS TERINAMENTOS X HHT'!$B$3</c:f>
              <c:strCache>
                <c:ptCount val="1"/>
                <c:pt idx="0">
                  <c:v>Soma de HORAS DE TREINAMENTO / HHT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'HORAS TERINAMENTOS X HHT'!$A$4:$A$16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'HORAS TERINAMENTOS X HHT'!$B$4:$B$16</c:f>
              <c:numCache>
                <c:formatCode>General</c:formatCode>
                <c:ptCount val="12"/>
                <c:pt idx="0">
                  <c:v>2.0747878694069237E-2</c:v>
                </c:pt>
                <c:pt idx="1">
                  <c:v>2.1287062295961719E-2</c:v>
                </c:pt>
                <c:pt idx="2">
                  <c:v>1.4964597797009436E-2</c:v>
                </c:pt>
                <c:pt idx="3">
                  <c:v>1.4142206030421114E-2</c:v>
                </c:pt>
                <c:pt idx="4">
                  <c:v>1.9902064022266547E-2</c:v>
                </c:pt>
                <c:pt idx="5">
                  <c:v>1.9546644969361031E-2</c:v>
                </c:pt>
                <c:pt idx="6">
                  <c:v>1.6186866820793792E-2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C-4EF5-A359-6698B46D26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99595728"/>
        <c:axId val="499595400"/>
      </c:barChart>
      <c:lineChart>
        <c:grouping val="standard"/>
        <c:varyColors val="0"/>
        <c:ser>
          <c:idx val="1"/>
          <c:order val="1"/>
          <c:tx>
            <c:strRef>
              <c:f>'HORAS TERINAMENTOS X HHT'!$C$3</c:f>
              <c:strCache>
                <c:ptCount val="1"/>
                <c:pt idx="0">
                  <c:v>Soma de META 1,2%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95-45C4-A853-B2651E769D6E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D34-4617-991B-218986B55920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70-4EA5-BA07-98B08DE67A34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A258-4CE0-BD85-480B68C21C2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58-4CE0-BD85-480B68C21C2C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20C-4C16-AB68-11F39D5ADFA9}"/>
              </c:ext>
            </c:extLst>
          </c:dPt>
          <c:cat>
            <c:strRef>
              <c:f>'HORAS TERINAMENTOS X HHT'!$A$4:$A$16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'HORAS TERINAMENTOS X HHT'!$C$4:$C$16</c:f>
              <c:numCache>
                <c:formatCode>General</c:formatCode>
                <c:ptCount val="12"/>
                <c:pt idx="0">
                  <c:v>1.2E-2</c:v>
                </c:pt>
                <c:pt idx="1">
                  <c:v>1.2E-2</c:v>
                </c:pt>
                <c:pt idx="2">
                  <c:v>1.2E-2</c:v>
                </c:pt>
                <c:pt idx="3">
                  <c:v>1.2E-2</c:v>
                </c:pt>
                <c:pt idx="4">
                  <c:v>1.2E-2</c:v>
                </c:pt>
                <c:pt idx="5">
                  <c:v>1.2E-2</c:v>
                </c:pt>
                <c:pt idx="6">
                  <c:v>1.2E-2</c:v>
                </c:pt>
                <c:pt idx="7">
                  <c:v>1.2E-2</c:v>
                </c:pt>
                <c:pt idx="8">
                  <c:v>1.2E-2</c:v>
                </c:pt>
                <c:pt idx="9">
                  <c:v>1.2E-2</c:v>
                </c:pt>
                <c:pt idx="10">
                  <c:v>1.2E-2</c:v>
                </c:pt>
                <c:pt idx="11">
                  <c:v>1.2E-2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20C-4C16-AB68-11F39D5AD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595728"/>
        <c:axId val="499595400"/>
      </c:lineChart>
      <c:catAx>
        <c:axId val="49959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pt-BR"/>
          </a:p>
        </c:txPr>
        <c:crossAx val="499595400"/>
        <c:crosses val="autoZero"/>
        <c:auto val="1"/>
        <c:lblAlgn val="ctr"/>
        <c:lblOffset val="100"/>
        <c:noMultiLvlLbl val="0"/>
      </c:catAx>
      <c:valAx>
        <c:axId val="49959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pt-BR"/>
          </a:p>
        </c:txPr>
        <c:crossAx val="49959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25" r="0.25" t="0.75" header="0.3" footer="0.3"/>
    <c:pageSetup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ATUAL.xlsx]FALTAS INJUSTIFICADAS X HHT!Tabela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pt-BR" sz="3000" b="1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FALTAS INJUSTIFICADAS/HHT </a:t>
            </a:r>
          </a:p>
          <a:p>
            <a:pPr>
              <a:defRPr sz="3000">
                <a:solidFill>
                  <a:sysClr val="windowText" lastClr="000000"/>
                </a:solidFill>
                <a:latin typeface="Arial Rounded MT Bold" panose="020F0704030504030204" pitchFamily="34" charset="0"/>
              </a:defRPr>
            </a:pPr>
            <a:r>
              <a:rPr lang="pt-BR" sz="1400" b="1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META: ABAIXO</a:t>
            </a:r>
            <a:r>
              <a:rPr lang="pt-BR" sz="1400" b="1" baseline="0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 DE 1,5%</a:t>
            </a:r>
            <a:endParaRPr lang="pt-BR" sz="1400" b="1">
              <a:solidFill>
                <a:sysClr val="windowText" lastClr="000000"/>
              </a:solidFill>
              <a:latin typeface="Arial Rounded MT Bold" panose="020F0704030504030204" pitchFamily="34" charset="0"/>
            </a:endParaRPr>
          </a:p>
        </c:rich>
      </c:tx>
      <c:layout>
        <c:manualLayout>
          <c:xMode val="edge"/>
          <c:yMode val="edge"/>
          <c:x val="0.15580353315706683"/>
          <c:y val="1.9507407407407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2.7777777777777779E-3"/>
              <c:y val="-1.8518518518518563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1.9444444444444497E-2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1.388888888888894E-2"/>
              <c:y val="-3.7037037037037035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5.5555555555556061E-3"/>
              <c:y val="-4.6296296296296294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1.1111111111111162E-2"/>
              <c:y val="-3.7037037037037035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1.3888888888888788E-2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800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800080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1.8518518518518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800080"/>
          </a:solidFill>
          <a:ln>
            <a:noFill/>
          </a:ln>
          <a:effectLst/>
        </c:spPr>
        <c:dLbl>
          <c:idx val="0"/>
          <c:layout>
            <c:manualLayout>
              <c:x val="-1.944444444444449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800080"/>
          </a:solidFill>
          <a:ln>
            <a:noFill/>
          </a:ln>
          <a:effectLst/>
        </c:spPr>
        <c:dLbl>
          <c:idx val="0"/>
          <c:layout>
            <c:manualLayout>
              <c:x val="-1.388888888888894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800080"/>
          </a:solidFill>
          <a:ln>
            <a:noFill/>
          </a:ln>
          <a:effectLst/>
        </c:spPr>
        <c:dLbl>
          <c:idx val="0"/>
          <c:layout>
            <c:manualLayout>
              <c:x val="-5.5555555555556061E-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800080"/>
          </a:solidFill>
          <a:ln>
            <a:noFill/>
          </a:ln>
          <a:effectLst/>
        </c:spPr>
        <c:dLbl>
          <c:idx val="0"/>
          <c:layout>
            <c:manualLayout>
              <c:x val="-1.1111111111111162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800080"/>
          </a:solidFill>
          <a:ln>
            <a:noFill/>
          </a:ln>
          <a:effectLst/>
        </c:spPr>
        <c:dLbl>
          <c:idx val="0"/>
          <c:layout>
            <c:manualLayout>
              <c:x val="1.38888888888887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402673206323622"/>
          <c:y val="0.18168780864197531"/>
          <c:w val="0.87080517676767677"/>
          <c:h val="0.745153240740740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'FALTAS INJUSTIFICADAS X HHT'!$B$3</c:f>
              <c:strCache>
                <c:ptCount val="1"/>
                <c:pt idx="0">
                  <c:v>Soma de FALTAS INJUSTIFICADAS / HHT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'FALTAS INJUSTIFICADAS X HHT'!$A$4:$A$16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'FALTAS INJUSTIFICADAS X HHT'!$B$4:$B$16</c:f>
              <c:numCache>
                <c:formatCode>General</c:formatCode>
                <c:ptCount val="12"/>
                <c:pt idx="0">
                  <c:v>7.6717751456879821E-3</c:v>
                </c:pt>
                <c:pt idx="1">
                  <c:v>1.6729126604355798E-2</c:v>
                </c:pt>
                <c:pt idx="2">
                  <c:v>1.4875482776420501E-2</c:v>
                </c:pt>
                <c:pt idx="3">
                  <c:v>1.5908444587916099E-2</c:v>
                </c:pt>
                <c:pt idx="4">
                  <c:v>1.6958340821361152E-2</c:v>
                </c:pt>
                <c:pt idx="5">
                  <c:v>9.9004551348877406E-3</c:v>
                </c:pt>
                <c:pt idx="6">
                  <c:v>1.1517307631403928E-2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9-4AEC-9D9E-55F18D58AD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1692152"/>
        <c:axId val="401691168"/>
      </c:barChart>
      <c:lineChart>
        <c:grouping val="standard"/>
        <c:varyColors val="0"/>
        <c:ser>
          <c:idx val="1"/>
          <c:order val="1"/>
          <c:tx>
            <c:strRef>
              <c:f>'FALTAS INJUSTIFICADAS X HHT'!$C$3</c:f>
              <c:strCache>
                <c:ptCount val="1"/>
                <c:pt idx="0">
                  <c:v>Soma de META 1,5%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79-4852-882D-BC9FE89AAEDB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DD8-4FD9-9F56-FFCD8F3E07F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45-4854-AF60-2D3BF68502C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E7-42B1-91CD-322C8F1055C4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E5E7-42B1-91CD-322C8F1055C4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1DD-466F-8EA3-5349DEC9C469}"/>
              </c:ext>
            </c:extLst>
          </c:dPt>
          <c:dLbls>
            <c:dLbl>
              <c:idx val="1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1DD-466F-8EA3-5349DEC9C4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'FALTAS INJUSTIFICADAS X HHT'!$A$4:$A$16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'FALTAS INJUSTIFICADAS X HHT'!$C$4:$C$16</c:f>
              <c:numCache>
                <c:formatCode>General</c:formatCode>
                <c:ptCount val="12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1DD-466F-8EA3-5349DEC9C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692152"/>
        <c:axId val="401691168"/>
      </c:lineChart>
      <c:catAx>
        <c:axId val="40169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691168"/>
        <c:crosses val="autoZero"/>
        <c:auto val="1"/>
        <c:lblAlgn val="ctr"/>
        <c:lblOffset val="100"/>
        <c:noMultiLvlLbl val="0"/>
      </c:catAx>
      <c:valAx>
        <c:axId val="40169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pt-BR"/>
          </a:p>
        </c:txPr>
        <c:crossAx val="401692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ATUAL.xlsx]ABSENTEISMO X HHT!Tabela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3000" b="1" i="0" u="none" strike="noStrike" kern="1200" spc="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3000" b="1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ABSENSTEÍSMO </a:t>
            </a:r>
          </a:p>
          <a:p>
            <a:pPr algn="ctr">
              <a:defRPr sz="3000" b="1">
                <a:solidFill>
                  <a:sysClr val="windowText" lastClr="000000"/>
                </a:solidFill>
                <a:latin typeface="Arial Rounded MT Bold" panose="020F0704030504030204" pitchFamily="34" charset="0"/>
              </a:defRPr>
            </a:pPr>
            <a:r>
              <a:rPr lang="en-US" sz="1400" b="1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META: ABAIXO DE 1,5%</a:t>
            </a:r>
          </a:p>
        </c:rich>
      </c:tx>
      <c:layout>
        <c:manualLayout>
          <c:xMode val="edge"/>
          <c:yMode val="edge"/>
          <c:x val="0.33524403161925587"/>
          <c:y val="2.3097730497797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3000" b="1" i="0" u="none" strike="noStrike" kern="1200" spc="0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c:spPr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20977062746795"/>
          <c:y val="0.1902314386815008"/>
          <c:w val="0.8839606299212597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'ABSENTEISMO X HHT'!$B$3</c:f>
              <c:strCache>
                <c:ptCount val="1"/>
                <c:pt idx="0">
                  <c:v>Soma de ABSENTEÍSMO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'ABSENTEISMO X HHT'!$A$4:$A$16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'ABSENTEISMO X HHT'!$B$4:$B$16</c:f>
              <c:numCache>
                <c:formatCode>General</c:formatCode>
                <c:ptCount val="12"/>
                <c:pt idx="0">
                  <c:v>0.13829778475228516</c:v>
                </c:pt>
                <c:pt idx="1">
                  <c:v>8.8099816645051648E-2</c:v>
                </c:pt>
                <c:pt idx="2">
                  <c:v>1.9430437319352924E-2</c:v>
                </c:pt>
                <c:pt idx="3">
                  <c:v>1.0167016378826657E-2</c:v>
                </c:pt>
                <c:pt idx="4">
                  <c:v>2.254874149149632E-2</c:v>
                </c:pt>
                <c:pt idx="5">
                  <c:v>1.7388568232093365E-2</c:v>
                </c:pt>
                <c:pt idx="6">
                  <c:v>6.0551198004088938E-2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8-4672-8B6D-084C418C13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69014920"/>
        <c:axId val="469014592"/>
      </c:barChart>
      <c:lineChart>
        <c:grouping val="standard"/>
        <c:varyColors val="0"/>
        <c:ser>
          <c:idx val="1"/>
          <c:order val="1"/>
          <c:tx>
            <c:strRef>
              <c:f>'ABSENTEISMO X HHT'!$C$3</c:f>
              <c:strCache>
                <c:ptCount val="1"/>
                <c:pt idx="0">
                  <c:v>Soma de META 1,5%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35-4D32-B207-9466B03B522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B12-4539-948D-635CD2B6728E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A6-4ECB-9AC4-12A951E95FC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FE-4C97-A7BA-5353522CFAC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9EFE-4C97-A7BA-5353522CFAC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BDF-40E7-8894-8E29EF6B07C8}"/>
              </c:ext>
            </c:extLst>
          </c:dPt>
          <c:cat>
            <c:strRef>
              <c:f>'ABSENTEISMO X HHT'!$A$4:$A$16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'ABSENTEISMO X HHT'!$C$4:$C$16</c:f>
              <c:numCache>
                <c:formatCode>General</c:formatCode>
                <c:ptCount val="12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DF-40E7-8894-8E29EF6B0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014920"/>
        <c:axId val="469014592"/>
      </c:lineChart>
      <c:catAx>
        <c:axId val="469014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pt-BR"/>
          </a:p>
        </c:txPr>
        <c:crossAx val="469014592"/>
        <c:crosses val="autoZero"/>
        <c:auto val="1"/>
        <c:lblAlgn val="ctr"/>
        <c:lblOffset val="100"/>
        <c:noMultiLvlLbl val="0"/>
      </c:catAx>
      <c:valAx>
        <c:axId val="46901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pt-BR"/>
          </a:p>
        </c:txPr>
        <c:crossAx val="469014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ATUAL.xlsx]HORAS EXTRAS X HHT!Tabela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pt-BR" sz="3000" b="1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HORAS EXTRAS/HHT </a:t>
            </a:r>
          </a:p>
          <a:p>
            <a:pPr>
              <a:defRPr sz="3000" b="1">
                <a:solidFill>
                  <a:sysClr val="windowText" lastClr="000000"/>
                </a:solidFill>
                <a:latin typeface="Arial Rounded MT Bold" panose="020F0704030504030204" pitchFamily="34" charset="0"/>
              </a:defRPr>
            </a:pPr>
            <a:r>
              <a:rPr lang="pt-BR" sz="1400" b="1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META: ABAIXO DE 6%</a:t>
            </a:r>
          </a:p>
        </c:rich>
      </c:tx>
      <c:layout>
        <c:manualLayout>
          <c:xMode val="edge"/>
          <c:yMode val="edge"/>
          <c:x val="0.24163678960320928"/>
          <c:y val="2.1296141975308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c:spP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9358705161854772E-2"/>
          <c:y val="0.15782407407407409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'HORAS EXTRAS X HHT'!$B$3</c:f>
              <c:strCache>
                <c:ptCount val="1"/>
                <c:pt idx="0">
                  <c:v>Soma de HORAS EXTRAS / HHT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'HORAS EXTRAS X HHT'!$A$4:$A$16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'HORAS EXTRAS X HHT'!$B$4:$B$16</c:f>
              <c:numCache>
                <c:formatCode>General</c:formatCode>
                <c:ptCount val="12"/>
                <c:pt idx="0">
                  <c:v>2.1885718708164619E-2</c:v>
                </c:pt>
                <c:pt idx="1">
                  <c:v>1.6144179598407943E-2</c:v>
                </c:pt>
                <c:pt idx="2">
                  <c:v>3.8230343832652079E-2</c:v>
                </c:pt>
                <c:pt idx="3">
                  <c:v>8.6905393253245408E-2</c:v>
                </c:pt>
                <c:pt idx="4">
                  <c:v>8.5099146439090029E-2</c:v>
                </c:pt>
                <c:pt idx="5">
                  <c:v>5.6040072211345313E-2</c:v>
                </c:pt>
                <c:pt idx="6">
                  <c:v>3.2306874843849517E-2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C-4883-8DE1-EA0DA4325F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4330536"/>
        <c:axId val="474323320"/>
      </c:barChart>
      <c:lineChart>
        <c:grouping val="standard"/>
        <c:varyColors val="0"/>
        <c:ser>
          <c:idx val="1"/>
          <c:order val="1"/>
          <c:tx>
            <c:strRef>
              <c:f>'HORAS EXTRAS X HHT'!$C$3</c:f>
              <c:strCache>
                <c:ptCount val="1"/>
                <c:pt idx="0">
                  <c:v>Soma de META 6%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B0-4887-BAF1-4674CB76E4D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D2-42EF-BCDB-28F69A4052B4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79-4566-8A0C-B2E57DCEC32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AB-4EE6-81B1-B7F8349DF6F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9CAB-4EE6-81B1-B7F8349DF6FC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6-49A9-B134-DBB42246AE87}"/>
              </c:ext>
            </c:extLst>
          </c:dPt>
          <c:cat>
            <c:strRef>
              <c:f>'HORAS EXTRAS X HHT'!$A$4:$A$16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'HORAS EXTRAS X HHT'!$C$4:$C$16</c:f>
              <c:numCache>
                <c:formatCode>General</c:formatCode>
                <c:ptCount val="12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F6-49A9-B134-DBB42246A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330536"/>
        <c:axId val="474323320"/>
      </c:lineChart>
      <c:catAx>
        <c:axId val="47433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323320"/>
        <c:crosses val="autoZero"/>
        <c:auto val="1"/>
        <c:lblAlgn val="ctr"/>
        <c:lblOffset val="100"/>
        <c:noMultiLvlLbl val="0"/>
      </c:catAx>
      <c:valAx>
        <c:axId val="47432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pt-BR"/>
          </a:p>
        </c:txPr>
        <c:crossAx val="474330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ATUAL.xlsx]TB ABSENTEISMO!Tabela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FALTAS JUSTIFICADAS/HHT </a:t>
            </a:r>
          </a:p>
          <a:p>
            <a:pPr>
              <a:defRPr sz="1400"/>
            </a:pPr>
            <a:r>
              <a:rPr lang="en-US" sz="1400"/>
              <a:t>META: ABAIXO DE 2,0%</a:t>
            </a:r>
          </a:p>
        </c:rich>
      </c:tx>
      <c:layout>
        <c:manualLayout>
          <c:xMode val="edge"/>
          <c:yMode val="edge"/>
          <c:x val="0.32057358806548997"/>
          <c:y val="3.8480458080885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>
            <a:solidFill>
              <a:srgbClr val="FF0000"/>
            </a:solidFill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>
            <a:solidFill>
              <a:srgbClr val="FF0000"/>
            </a:solidFill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>
            <a:solidFill>
              <a:srgbClr val="FF0000"/>
            </a:solidFill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>
            <a:solidFill>
              <a:srgbClr val="FF0000"/>
            </a:solidFill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>
            <a:solidFill>
              <a:srgbClr val="FF0000"/>
            </a:solidFill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>
            <a:solidFill>
              <a:srgbClr val="FF0000"/>
            </a:solidFill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>
            <a:solidFill>
              <a:srgbClr val="FF0000"/>
            </a:solidFill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</c:pivotFmt>
      <c:pivotFmt>
        <c:idx val="85"/>
        <c:marker>
          <c:symbol val="none"/>
        </c:marke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layout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5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124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114497256561116E-2"/>
          <c:y val="0.23806807524686932"/>
          <c:w val="0.8877778163192156"/>
          <c:h val="0.703389891224227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'TB ABSENTEISMO'!$B$3</c:f>
              <c:strCache>
                <c:ptCount val="1"/>
                <c:pt idx="0">
                  <c:v>Soma de ABSENTEÍSMO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'TB ABSENTEISMO'!$A$4:$A$17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ABSENTEISMO'!$B$4:$B$17</c:f>
              <c:numCache>
                <c:formatCode>General</c:formatCode>
                <c:ptCount val="13"/>
                <c:pt idx="0">
                  <c:v>2.1989532509632245E-2</c:v>
                </c:pt>
                <c:pt idx="1">
                  <c:v>3.1665897637724039E-2</c:v>
                </c:pt>
                <c:pt idx="2">
                  <c:v>2.8519348090750716E-2</c:v>
                </c:pt>
                <c:pt idx="3">
                  <c:v>3.9882609677176613E-2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3.0451414706688062E-2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60-47F9-BA17-101C40CE80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25"/>
        <c:axId val="496397488"/>
        <c:axId val="496429304"/>
      </c:barChart>
      <c:lineChart>
        <c:grouping val="standard"/>
        <c:varyColors val="0"/>
        <c:ser>
          <c:idx val="1"/>
          <c:order val="1"/>
          <c:tx>
            <c:strRef>
              <c:f>'TB ABSENTEISMO'!$C$3</c:f>
              <c:strCache>
                <c:ptCount val="1"/>
                <c:pt idx="0">
                  <c:v>Soma de META 4,5%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736E-437C-8183-51BA8353265F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736E-437C-8183-51BA8353265F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736E-437C-8183-51BA8353265F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736E-437C-8183-51BA8353265F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736E-437C-8183-51BA8353265F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736E-437C-8183-51BA8353265F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736E-437C-8183-51BA8353265F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736E-437C-8183-51BA8353265F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736E-437C-8183-51BA8353265F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736E-437C-8183-51BA8353265F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736E-437C-8183-51BA8353265F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736E-437C-8183-51BA8353265F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736E-437C-8183-51BA835326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36E-437C-8183-51BA8353265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6E-437C-8183-51BA8353265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6E-437C-8183-51BA8353265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6E-437C-8183-51BA8353265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6E-437C-8183-51BA8353265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6E-437C-8183-51BA8353265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6E-437C-8183-51BA8353265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6E-437C-8183-51BA8353265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6E-437C-8183-51BA8353265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6E-437C-8183-51BA8353265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6E-437C-8183-51BA8353265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6E-437C-8183-51BA8353265F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'TB ABSENTEISMO'!$A$4:$A$17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ABSENTEISMO'!$C$4:$C$17</c:f>
              <c:numCache>
                <c:formatCode>General</c:formatCode>
                <c:ptCount val="13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E-437C-8183-51BA835326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6397488"/>
        <c:axId val="496429304"/>
      </c:lineChart>
      <c:valAx>
        <c:axId val="49642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397488"/>
        <c:crosses val="autoZero"/>
        <c:crossBetween val="between"/>
      </c:valAx>
      <c:dateAx>
        <c:axId val="49639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429304"/>
        <c:crosses val="autoZero"/>
        <c:auto val="0"/>
        <c:lblOffset val="100"/>
        <c:baseTimeUnit val="days"/>
      </c:dateAx>
      <c:spPr>
        <a:noFill/>
        <a:ln>
          <a:noFill/>
        </a:ln>
        <a:effectLst>
          <a:glow>
            <a:schemeClr val="accent1"/>
          </a:glow>
        </a:effectLst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ATUAL.xlsx]TB FALTAS INJUSTIFICADAS!Tabela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FALTAS INJUSTIFICADAS/HHT</a:t>
            </a:r>
          </a:p>
          <a:p>
            <a:pPr algn="ctr" rtl="0">
              <a:defRPr lang="en-US" sz="2000" b="1">
                <a:solidFill>
                  <a:sysClr val="windowText" lastClr="000000"/>
                </a:solidFill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META: ABAIXO DE 1,5%</a:t>
            </a:r>
          </a:p>
        </c:rich>
      </c:tx>
      <c:layout>
        <c:manualLayout>
          <c:xMode val="edge"/>
          <c:yMode val="edge"/>
          <c:x val="0.32971711948996407"/>
          <c:y val="2.4356296296296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0070C0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0"/>
        <c:spPr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72"/>
        <c:spPr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73"/>
        <c:spPr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74"/>
        <c:spPr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75"/>
        <c:spPr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76"/>
        <c:spPr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77"/>
        <c:spPr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8"/>
        <c:spPr>
          <a:solidFill>
            <a:srgbClr val="0070C0"/>
          </a:solidFill>
          <a:ln>
            <a:solidFill>
              <a:srgbClr val="0070C0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9916750494293948E-2"/>
          <c:y val="0.22872658634206158"/>
          <c:w val="0.8877778163192156"/>
          <c:h val="0.703389891224227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'TB FALTAS INJUSTIFICADAS'!$B$3</c:f>
              <c:strCache>
                <c:ptCount val="1"/>
                <c:pt idx="0">
                  <c:v>Soma de FALTAS INJUSTIFICADAS / HHT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FALTAS INJUSTIFICADAS'!$A$4:$A$17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FALTAS INJUSTIFICADAS'!$B$4:$B$17</c:f>
              <c:numCache>
                <c:formatCode>0.00%</c:formatCode>
                <c:ptCount val="13"/>
                <c:pt idx="0">
                  <c:v>2.2935318854132556E-2</c:v>
                </c:pt>
                <c:pt idx="1">
                  <c:v>4.0713296962788048E-3</c:v>
                </c:pt>
                <c:pt idx="2">
                  <c:v>3.4976558979222579E-3</c:v>
                </c:pt>
                <c:pt idx="3">
                  <c:v>4.2641783931572476E-3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8.8663757680115841E-3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EA8-437B-A511-E5EB41513A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24"/>
        <c:axId val="469014920"/>
        <c:axId val="469014592"/>
      </c:barChart>
      <c:lineChart>
        <c:grouping val="standard"/>
        <c:varyColors val="0"/>
        <c:ser>
          <c:idx val="1"/>
          <c:order val="1"/>
          <c:tx>
            <c:strRef>
              <c:f>'TB FALTAS INJUSTIFICADAS'!$C$3</c:f>
              <c:strCache>
                <c:ptCount val="1"/>
                <c:pt idx="0">
                  <c:v>Soma de META 1,5%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AEA8-437B-A511-E5EB41513ADB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AEA8-437B-A511-E5EB41513AD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AEA8-437B-A511-E5EB41513AD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AEA8-437B-A511-E5EB41513AD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AEA8-437B-A511-E5EB41513AD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AEA8-437B-A511-E5EB41513ADB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AEA8-437B-A511-E5EB41513ADB}"/>
              </c:ext>
            </c:extLst>
          </c:dPt>
          <c:dLbls>
            <c:dLbl>
              <c:idx val="1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AEA8-437B-A511-E5EB41513A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FALTAS INJUSTIFICADAS'!$A$4:$A$17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FALTAS INJUSTIFICADAS'!$C$4:$C$17</c:f>
              <c:numCache>
                <c:formatCode>0.00%</c:formatCode>
                <c:ptCount val="13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EA8-437B-A511-E5EB41513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014920"/>
        <c:axId val="469014592"/>
      </c:lineChart>
      <c:catAx>
        <c:axId val="46901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014592"/>
        <c:crosses val="autoZero"/>
        <c:auto val="1"/>
        <c:lblAlgn val="ctr"/>
        <c:lblOffset val="100"/>
        <c:noMultiLvlLbl val="0"/>
      </c:catAx>
      <c:valAx>
        <c:axId val="46901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014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ATUAL.xlsx]TB TREINAMENTOS!Tabela dinâmica9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TREINAMENTOS/HHT</a:t>
            </a:r>
          </a:p>
          <a:p>
            <a:pPr algn="ctr" rtl="0">
              <a:defRPr lang="en-US" sz="2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META: ACIMA DE 1,5%</a:t>
            </a:r>
          </a:p>
        </c:rich>
      </c:tx>
      <c:layout>
        <c:manualLayout>
          <c:xMode val="edge"/>
          <c:yMode val="edge"/>
          <c:x val="0.38945024775205689"/>
          <c:y val="3.613467430395831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0"/>
        <c:spPr>
          <a:ln w="3492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9916750494293948E-2"/>
          <c:y val="0.22872658634206158"/>
          <c:w val="0.8877778163192156"/>
          <c:h val="0.703389891224227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'TB TREINAMENTOS'!$B$3</c:f>
              <c:strCache>
                <c:ptCount val="1"/>
                <c:pt idx="0">
                  <c:v>Soma de HORAS DE TREINAMENTO / HHT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TREINAMENTOS'!$A$4:$A$17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TREINAMENTOS'!$B$4:$B$17</c:f>
              <c:numCache>
                <c:formatCode>0.00%</c:formatCode>
                <c:ptCount val="13"/>
                <c:pt idx="0">
                  <c:v>2.6245571059883645E-2</c:v>
                </c:pt>
                <c:pt idx="1">
                  <c:v>2.7820752924571833E-2</c:v>
                </c:pt>
                <c:pt idx="2">
                  <c:v>2.7712196729691736E-2</c:v>
                </c:pt>
                <c:pt idx="3">
                  <c:v>2.7654451049740389E-2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2.7348183187884009E-2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C74-40B1-87B1-E9EC69F17A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24"/>
        <c:axId val="469014920"/>
        <c:axId val="469014592"/>
      </c:barChart>
      <c:lineChart>
        <c:grouping val="standard"/>
        <c:varyColors val="0"/>
        <c:ser>
          <c:idx val="1"/>
          <c:order val="1"/>
          <c:tx>
            <c:strRef>
              <c:f>'TB TREINAMENTOS'!$C$3</c:f>
              <c:strCache>
                <c:ptCount val="1"/>
                <c:pt idx="0">
                  <c:v>Soma de META 1,5%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2-4C74-40B1-87B1-E9EC69F17AA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3-4C74-40B1-87B1-E9EC69F17AA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4-4C74-40B1-87B1-E9EC69F17AA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5-4C74-40B1-87B1-E9EC69F17AA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6-4C74-40B1-87B1-E9EC69F17AA7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7-4C74-40B1-87B1-E9EC69F17AA7}"/>
              </c:ext>
            </c:extLst>
          </c:dPt>
          <c:dLbls>
            <c:dLbl>
              <c:idx val="1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4C74-40B1-87B1-E9EC69F17A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'TB TREINAMENTOS'!$A$4:$A$17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TREINAMENTOS'!$C$4:$C$17</c:f>
              <c:numCache>
                <c:formatCode>0.00%</c:formatCode>
                <c:ptCount val="13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C74-40B1-87B1-E9EC69F17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014920"/>
        <c:axId val="469014592"/>
      </c:lineChart>
      <c:catAx>
        <c:axId val="46901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014592"/>
        <c:crosses val="autoZero"/>
        <c:auto val="1"/>
        <c:lblAlgn val="ctr"/>
        <c:lblOffset val="100"/>
        <c:noMultiLvlLbl val="0"/>
      </c:catAx>
      <c:valAx>
        <c:axId val="46901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01492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ATUAL.xlsx]TB HORAS EXTRAS!Tabela dinâmica8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HORAS EXTRAS/HHT</a:t>
            </a:r>
          </a:p>
          <a:p>
            <a:pPr algn="ctr" rtl="0">
              <a:defRPr lang="en-US" sz="2000" b="1">
                <a:solidFill>
                  <a:sysClr val="windowText" lastClr="000000"/>
                </a:solidFill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META: ABAIXO DE 10,0%</a:t>
            </a:r>
          </a:p>
        </c:rich>
      </c:tx>
      <c:layout>
        <c:manualLayout>
          <c:xMode val="edge"/>
          <c:yMode val="edge"/>
          <c:x val="0.40189692604070504"/>
          <c:y val="2.9059999999999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34925" cap="rnd">
            <a:solidFill>
              <a:srgbClr val="FF0000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34925" cap="rnd">
            <a:solidFill>
              <a:srgbClr val="FF0000"/>
            </a:solidFill>
            <a:round/>
          </a:ln>
          <a:effectLst/>
        </c:spPr>
      </c:pivotFmt>
      <c:pivotFmt>
        <c:idx val="72"/>
        <c:spPr>
          <a:solidFill>
            <a:schemeClr val="accent1"/>
          </a:solidFill>
          <a:ln w="34925" cap="rnd">
            <a:solidFill>
              <a:srgbClr val="FF0000"/>
            </a:solidFill>
            <a:round/>
          </a:ln>
          <a:effectLst/>
        </c:spPr>
      </c:pivotFmt>
      <c:pivotFmt>
        <c:idx val="73"/>
        <c:spPr>
          <a:solidFill>
            <a:schemeClr val="accent1"/>
          </a:solidFill>
          <a:ln w="34925" cap="rnd">
            <a:solidFill>
              <a:srgbClr val="FF0000"/>
            </a:solidFill>
            <a:round/>
          </a:ln>
          <a:effectLst/>
        </c:spPr>
      </c:pivotFmt>
      <c:pivotFmt>
        <c:idx val="74"/>
        <c:spPr>
          <a:solidFill>
            <a:schemeClr val="accent1"/>
          </a:solidFill>
          <a:ln w="34925" cap="rnd">
            <a:solidFill>
              <a:srgbClr val="FF0000"/>
            </a:solidFill>
            <a:round/>
          </a:ln>
          <a:effectLst/>
        </c:spPr>
      </c:pivotFmt>
      <c:pivotFmt>
        <c:idx val="75"/>
        <c:spPr>
          <a:solidFill>
            <a:schemeClr val="accent1"/>
          </a:solidFill>
          <a:ln w="34925" cap="rnd">
            <a:solidFill>
              <a:srgbClr val="FF0000"/>
            </a:solidFill>
            <a:round/>
          </a:ln>
          <a:effectLst/>
        </c:spPr>
      </c:pivotFmt>
      <c:pivotFmt>
        <c:idx val="76"/>
        <c:spPr>
          <a:solidFill>
            <a:schemeClr val="accent1"/>
          </a:solidFill>
          <a:ln w="34925" cap="rnd">
            <a:solidFill>
              <a:srgbClr val="FF0000"/>
            </a:solidFill>
            <a:round/>
          </a:ln>
          <a:effectLst/>
        </c:spPr>
      </c:pivotFmt>
      <c:pivotFmt>
        <c:idx val="77"/>
        <c:spPr>
          <a:solidFill>
            <a:schemeClr val="accent1"/>
          </a:solidFill>
          <a:ln w="34925" cap="rnd">
            <a:solidFill>
              <a:srgbClr val="FF0000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7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8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0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381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9916750494293948E-2"/>
          <c:y val="0.22872658634206158"/>
          <c:w val="0.8877778163192156"/>
          <c:h val="0.703389891224227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'TB HORAS EXTRAS'!$B$3</c:f>
              <c:strCache>
                <c:ptCount val="1"/>
                <c:pt idx="0">
                  <c:v>Soma de HORAS EXTRAS / HHT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108-4DBC-90D0-D86971239923}"/>
              </c:ext>
            </c:extLst>
          </c:dPt>
          <c:dLbls>
            <c:dLbl>
              <c:idx val="12"/>
              <c:layout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108-4DBC-90D0-D869712399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HORAS EXTRAS'!$A$4:$A$17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HORAS EXTRAS'!$B$4:$B$17</c:f>
              <c:numCache>
                <c:formatCode>0.00%</c:formatCode>
                <c:ptCount val="13"/>
                <c:pt idx="0">
                  <c:v>3.766239447093303E-2</c:v>
                </c:pt>
                <c:pt idx="1">
                  <c:v>5.4546770530810917E-2</c:v>
                </c:pt>
                <c:pt idx="2">
                  <c:v>2.3346853118631071E-2</c:v>
                </c:pt>
                <c:pt idx="3">
                  <c:v>3.4289010961446813E-2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0.45781317262161009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92-4EC5-9710-9BB461544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24"/>
        <c:axId val="469014920"/>
        <c:axId val="469014592"/>
      </c:barChart>
      <c:lineChart>
        <c:grouping val="standard"/>
        <c:varyColors val="0"/>
        <c:ser>
          <c:idx val="1"/>
          <c:order val="1"/>
          <c:tx>
            <c:strRef>
              <c:f>'TB HORAS EXTRAS'!$C$3</c:f>
              <c:strCache>
                <c:ptCount val="1"/>
                <c:pt idx="0">
                  <c:v>Soma de META 6%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D108-4DBC-90D0-D86971239923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D108-4DBC-90D0-D86971239923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D108-4DBC-90D0-D86971239923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D108-4DBC-90D0-D86971239923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D108-4DBC-90D0-D86971239923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D108-4DBC-90D0-D86971239923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D108-4DBC-90D0-D86971239923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D108-4DBC-90D0-D86971239923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D108-4DBC-90D0-D86971239923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D108-4DBC-90D0-D86971239923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D108-4DBC-90D0-D86971239923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D108-4DBC-90D0-D86971239923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81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9C70-4EFF-84C1-D573B2598339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D108-4DBC-90D0-D8697123992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108-4DBC-90D0-D8697123992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108-4DBC-90D0-D8697123992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108-4DBC-90D0-D8697123992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08-4DBC-90D0-D8697123992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108-4DBC-90D0-D8697123992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108-4DBC-90D0-D8697123992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08-4DBC-90D0-D8697123992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08-4DBC-90D0-D8697123992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08-4DBC-90D0-D8697123992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08-4DBC-90D0-D8697123992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08-4DBC-90D0-D869712399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HORAS EXTRAS'!$A$4:$A$17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HORAS EXTRAS'!$C$4:$C$17</c:f>
              <c:numCache>
                <c:formatCode>0.00%</c:formatCode>
                <c:ptCount val="13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C70-4EFF-84C1-D573B25983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69014920"/>
        <c:axId val="469014592"/>
      </c:lineChart>
      <c:catAx>
        <c:axId val="46901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014592"/>
        <c:crosses val="autoZero"/>
        <c:auto val="1"/>
        <c:lblAlgn val="ctr"/>
        <c:lblOffset val="100"/>
        <c:noMultiLvlLbl val="0"/>
      </c:catAx>
      <c:valAx>
        <c:axId val="46901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014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ATUAL.xlsx]TB TREINAMENTOS!Tabela dinâmica9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'TB TREINAMENTOS'!$B$3</c:f>
              <c:strCache>
                <c:ptCount val="1"/>
                <c:pt idx="0">
                  <c:v>Soma de HORAS DE TREINAMENTO / HHT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TREINAMENTOS'!$A$4:$A$17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TREINAMENTOS'!$B$4:$B$17</c:f>
              <c:numCache>
                <c:formatCode>0.00%</c:formatCode>
                <c:ptCount val="13"/>
                <c:pt idx="0">
                  <c:v>2.6245571059883645E-2</c:v>
                </c:pt>
                <c:pt idx="1">
                  <c:v>2.7820752924571833E-2</c:v>
                </c:pt>
                <c:pt idx="2">
                  <c:v>2.7712196729691736E-2</c:v>
                </c:pt>
                <c:pt idx="3">
                  <c:v>2.7654451049740389E-2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2.7348183187884009E-2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4-4D68-98CA-3679E35CE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951784"/>
        <c:axId val="798943584"/>
      </c:barChart>
      <c:lineChart>
        <c:grouping val="standard"/>
        <c:varyColors val="0"/>
        <c:ser>
          <c:idx val="1"/>
          <c:order val="1"/>
          <c:tx>
            <c:strRef>
              <c:f>'TB TREINAMENTOS'!$C$3</c:f>
              <c:strCache>
                <c:ptCount val="1"/>
                <c:pt idx="0">
                  <c:v>Soma de META 1,5%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04-4D68-98CA-3679E35CEE4F}"/>
              </c:ext>
            </c:extLst>
          </c:dPt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04-4D68-98CA-3679E35CEE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TREINAMENTOS'!$A$4:$A$17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TREINAMENTOS'!$C$4:$C$17</c:f>
              <c:numCache>
                <c:formatCode>0.00%</c:formatCode>
                <c:ptCount val="13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04-4D68-98CA-3679E35CE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951784"/>
        <c:axId val="798943584"/>
      </c:lineChart>
      <c:catAx>
        <c:axId val="79895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8943584"/>
        <c:crosses val="autoZero"/>
        <c:auto val="1"/>
        <c:lblAlgn val="ctr"/>
        <c:lblOffset val="100"/>
        <c:noMultiLvlLbl val="0"/>
      </c:catAx>
      <c:valAx>
        <c:axId val="7989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8951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ATUAL.xlsx]TB HORAS EXTRAS!Tabela dinâmica8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24138084434361"/>
          <c:y val="4.8008737109035506E-2"/>
          <c:w val="0.89117794790289118"/>
          <c:h val="0.850744032328403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'TB HORAS EXTRAS'!$B$3</c:f>
              <c:strCache>
                <c:ptCount val="1"/>
                <c:pt idx="0">
                  <c:v>Soma de HORAS EXTRAS / HHT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HORAS EXTRAS'!$A$4:$A$17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HORAS EXTRAS'!$B$4:$B$17</c:f>
              <c:numCache>
                <c:formatCode>0.00%</c:formatCode>
                <c:ptCount val="13"/>
                <c:pt idx="0">
                  <c:v>3.766239447093303E-2</c:v>
                </c:pt>
                <c:pt idx="1">
                  <c:v>5.4546770530810917E-2</c:v>
                </c:pt>
                <c:pt idx="2">
                  <c:v>2.3346853118631071E-2</c:v>
                </c:pt>
                <c:pt idx="3">
                  <c:v>3.4289010961446813E-2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0.45781317262161009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A-417F-A71C-F350364B5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9007544"/>
        <c:axId val="799004592"/>
      </c:barChart>
      <c:lineChart>
        <c:grouping val="standard"/>
        <c:varyColors val="0"/>
        <c:ser>
          <c:idx val="1"/>
          <c:order val="1"/>
          <c:tx>
            <c:strRef>
              <c:f>'TB HORAS EXTRAS'!$C$3</c:f>
              <c:strCache>
                <c:ptCount val="1"/>
                <c:pt idx="0">
                  <c:v>Soma de META 6%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EA-417F-A71C-F350364B53D8}"/>
              </c:ext>
            </c:extLst>
          </c:dPt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EA-417F-A71C-F350364B53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HORAS EXTRAS'!$A$4:$A$17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HORAS EXTRAS'!$C$4:$C$17</c:f>
              <c:numCache>
                <c:formatCode>0.00%</c:formatCode>
                <c:ptCount val="13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EA-417F-A71C-F350364B5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007544"/>
        <c:axId val="799004592"/>
      </c:lineChart>
      <c:catAx>
        <c:axId val="79900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9004592"/>
        <c:crosses val="autoZero"/>
        <c:auto val="1"/>
        <c:lblAlgn val="ctr"/>
        <c:lblOffset val="100"/>
        <c:noMultiLvlLbl val="0"/>
      </c:catAx>
      <c:valAx>
        <c:axId val="79900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9007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ATUAL.xlsx]TB ABSENTEISMO!Tabela dinâmica4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'TB ABSENTEISMO'!$B$3</c:f>
              <c:strCache>
                <c:ptCount val="1"/>
                <c:pt idx="0">
                  <c:v>Soma de ABSENTEÍSMO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'TB ABSENTEISMO'!$A$4:$A$17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ABSENTEISMO'!$B$4:$B$17</c:f>
              <c:numCache>
                <c:formatCode>General</c:formatCode>
                <c:ptCount val="13"/>
                <c:pt idx="0">
                  <c:v>2.1989532509632245E-2</c:v>
                </c:pt>
                <c:pt idx="1">
                  <c:v>3.1665897637724039E-2</c:v>
                </c:pt>
                <c:pt idx="2">
                  <c:v>2.8519348090750716E-2</c:v>
                </c:pt>
                <c:pt idx="3">
                  <c:v>3.9882609677176613E-2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3.0451414706688062E-2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2A-4A97-AC19-BB44767D6D37}"/>
            </c:ext>
          </c:extLst>
        </c:ser>
        <c:ser>
          <c:idx val="1"/>
          <c:order val="1"/>
          <c:tx>
            <c:strRef>
              <c:f>'TB ABSENTEISMO'!$C$3</c:f>
              <c:strCache>
                <c:ptCount val="1"/>
                <c:pt idx="0">
                  <c:v>Soma de META 4,5%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'TB ABSENTEISMO'!$A$4:$A$17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ABSENTEISMO'!$C$4:$C$17</c:f>
              <c:numCache>
                <c:formatCode>General</c:formatCode>
                <c:ptCount val="13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48-46A4-80A3-771127E22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7"/>
        <c:overlap val="-66"/>
        <c:axId val="473844744"/>
        <c:axId val="473841136"/>
      </c:barChart>
      <c:catAx>
        <c:axId val="47384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3841136"/>
        <c:crosses val="autoZero"/>
        <c:auto val="1"/>
        <c:lblAlgn val="ctr"/>
        <c:lblOffset val="100"/>
        <c:noMultiLvlLbl val="0"/>
      </c:catAx>
      <c:valAx>
        <c:axId val="47384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3844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2026 ATUAL.xlsx]TB FALTAS INJUSTIFICADAS!Tabela dinâmica5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'TB FALTAS INJUSTIFICADAS'!$B$3</c:f>
              <c:strCache>
                <c:ptCount val="1"/>
                <c:pt idx="0">
                  <c:v>Soma de FALTAS INJUSTIFICADAS / HHT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FALTAS INJUSTIFICADAS'!$A$4:$A$17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FALTAS INJUSTIFICADAS'!$B$4:$B$17</c:f>
              <c:numCache>
                <c:formatCode>0.00%</c:formatCode>
                <c:ptCount val="13"/>
                <c:pt idx="0">
                  <c:v>2.2935318854132556E-2</c:v>
                </c:pt>
                <c:pt idx="1">
                  <c:v>4.0713296962788048E-3</c:v>
                </c:pt>
                <c:pt idx="2">
                  <c:v>3.4976558979222579E-3</c:v>
                </c:pt>
                <c:pt idx="3">
                  <c:v>4.2641783931572476E-3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8.8663757680115841E-3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C-4872-B5C7-F1816A801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9016728"/>
        <c:axId val="799023944"/>
      </c:barChart>
      <c:lineChart>
        <c:grouping val="standard"/>
        <c:varyColors val="0"/>
        <c:ser>
          <c:idx val="1"/>
          <c:order val="1"/>
          <c:tx>
            <c:strRef>
              <c:f>'TB FALTAS INJUSTIFICADAS'!$C$3</c:f>
              <c:strCache>
                <c:ptCount val="1"/>
                <c:pt idx="0">
                  <c:v>Soma de META 1,5%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442C-4872-B5C7-F1816A801F35}"/>
              </c:ext>
            </c:extLst>
          </c:dPt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2C-4872-B5C7-F1816A801F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 FALTAS INJUSTIFICADAS'!$A$4:$A$17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Media</c:v>
                </c:pt>
              </c:strCache>
            </c:strRef>
          </c:cat>
          <c:val>
            <c:numRef>
              <c:f>'TB FALTAS INJUSTIFICADAS'!$C$4:$C$17</c:f>
              <c:numCache>
                <c:formatCode>0.00%</c:formatCode>
                <c:ptCount val="13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2C-4872-B5C7-F1816A801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016728"/>
        <c:axId val="799023944"/>
      </c:lineChart>
      <c:catAx>
        <c:axId val="79901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9023944"/>
        <c:crosses val="autoZero"/>
        <c:auto val="1"/>
        <c:lblAlgn val="ctr"/>
        <c:lblOffset val="100"/>
        <c:noMultiLvlLbl val="0"/>
      </c:catAx>
      <c:valAx>
        <c:axId val="79902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9016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5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6.png"/><Relationship Id="rId5" Type="http://schemas.openxmlformats.org/officeDocument/2006/relationships/image" Target="../media/image4.png"/><Relationship Id="rId4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273845</xdr:colOff>
      <xdr:row>0</xdr:row>
      <xdr:rowOff>71438</xdr:rowOff>
    </xdr:from>
    <xdr:to>
      <xdr:col>2</xdr:col>
      <xdr:colOff>71437</xdr:colOff>
      <xdr:row>1</xdr:row>
      <xdr:rowOff>493775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4292FCC-B698-4B9B-824A-96E2640AD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45" y="71438"/>
          <a:ext cx="1131092" cy="7914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293687</xdr:colOff>
      <xdr:row>3</xdr:row>
      <xdr:rowOff>180972</xdr:rowOff>
    </xdr:from>
    <xdr:to>
      <xdr:col>15</xdr:col>
      <xdr:colOff>288887</xdr:colOff>
      <xdr:row>37</xdr:row>
      <xdr:rowOff>183972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219C4F91-254A-4FAF-A241-8D752D693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304800</xdr:colOff>
      <xdr:row>39</xdr:row>
      <xdr:rowOff>12435</xdr:rowOff>
    </xdr:from>
    <xdr:to>
      <xdr:col>15</xdr:col>
      <xdr:colOff>300000</xdr:colOff>
      <xdr:row>73</xdr:row>
      <xdr:rowOff>15435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3883731A-A0C0-4193-8327-DF8618465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513316</xdr:colOff>
      <xdr:row>3</xdr:row>
      <xdr:rowOff>150812</xdr:rowOff>
    </xdr:from>
    <xdr:to>
      <xdr:col>28</xdr:col>
      <xdr:colOff>508516</xdr:colOff>
      <xdr:row>37</xdr:row>
      <xdr:rowOff>153812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595A074F-BF7F-4C96-97D3-8B1C641B0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223836</xdr:colOff>
      <xdr:row>39</xdr:row>
      <xdr:rowOff>17992</xdr:rowOff>
    </xdr:from>
    <xdr:to>
      <xdr:col>42</xdr:col>
      <xdr:colOff>219036</xdr:colOff>
      <xdr:row>73</xdr:row>
      <xdr:rowOff>20992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8427978E-66F0-4792-8F00-9C86BBD80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552450</xdr:colOff>
      <xdr:row>39</xdr:row>
      <xdr:rowOff>19048</xdr:rowOff>
    </xdr:from>
    <xdr:to>
      <xdr:col>28</xdr:col>
      <xdr:colOff>547650</xdr:colOff>
      <xdr:row>73</xdr:row>
      <xdr:rowOff>22048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8FCA56-50EF-4E7E-9390-2BC025CCB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182671</xdr:colOff>
      <xdr:row>3</xdr:row>
      <xdr:rowOff>165449</xdr:rowOff>
    </xdr:from>
    <xdr:to>
      <xdr:col>42</xdr:col>
      <xdr:colOff>257986</xdr:colOff>
      <xdr:row>37</xdr:row>
      <xdr:rowOff>168449</xdr:rowOff>
    </xdr:to>
    <xdr:graphicFrame macro="">
      <xdr:nvGraphicFramePr>
        <xdr:cNvPr id="7" name="Gráfico 1">
          <a:extLst>
            <a:ext uri="{FF2B5EF4-FFF2-40B4-BE49-F238E27FC236}">
              <a16:creationId xmlns:a16="http://schemas.microsoft.com/office/drawing/2014/main" id="{2775223B-C718-4C9B-9FD8-841A63A9D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273051</xdr:colOff>
      <xdr:row>0</xdr:row>
      <xdr:rowOff>116416</xdr:rowOff>
    </xdr:from>
    <xdr:to>
      <xdr:col>1</xdr:col>
      <xdr:colOff>349250</xdr:colOff>
      <xdr:row>2</xdr:row>
      <xdr:rowOff>340307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DBE540B-1AE1-4A68-AD91-F1845B03E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1" y="116416"/>
          <a:ext cx="1282699" cy="92239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</xdr:row>
      <xdr:rowOff>133351</xdr:rowOff>
    </xdr:from>
    <xdr:to>
      <xdr:col>2</xdr:col>
      <xdr:colOff>85725</xdr:colOff>
      <xdr:row>10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NO">
              <a:extLst>
                <a:ext uri="{FF2B5EF4-FFF2-40B4-BE49-F238E27FC236}">
                  <a16:creationId xmlns:a16="http://schemas.microsoft.com/office/drawing/2014/main" id="{BB3D3AC1-B8A2-40D2-A1AB-DE818F6666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704851"/>
              <a:ext cx="182880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65617</xdr:colOff>
      <xdr:row>11</xdr:row>
      <xdr:rowOff>22225</xdr:rowOff>
    </xdr:from>
    <xdr:to>
      <xdr:col>2</xdr:col>
      <xdr:colOff>84667</xdr:colOff>
      <xdr:row>37</xdr:row>
      <xdr:rowOff>148167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ÊS">
              <a:extLst>
                <a:ext uri="{FF2B5EF4-FFF2-40B4-BE49-F238E27FC236}">
                  <a16:creationId xmlns:a16="http://schemas.microsoft.com/office/drawing/2014/main" id="{943A2AEC-D02B-4ECE-BF4B-023D9F1AB5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17" y="2117725"/>
              <a:ext cx="1828800" cy="50789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71438</xdr:colOff>
      <xdr:row>40</xdr:row>
      <xdr:rowOff>142875</xdr:rowOff>
    </xdr:from>
    <xdr:to>
      <xdr:col>1</xdr:col>
      <xdr:colOff>454190</xdr:colOff>
      <xdr:row>47</xdr:row>
      <xdr:rowOff>92480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E958DC75-AC93-4F29-AE88-8F7CB9678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8" y="8262938"/>
          <a:ext cx="1573377" cy="1283105"/>
        </a:xfrm>
        <a:prstGeom prst="rect">
          <a:avLst/>
        </a:prstGeom>
      </xdr:spPr>
    </xdr:pic>
    <xdr:clientData/>
  </xdr:twoCellAnchor>
  <xdr:twoCellAnchor editAs="oneCell">
    <xdr:from>
      <xdr:col>0</xdr:col>
      <xdr:colOff>224517</xdr:colOff>
      <xdr:row>49</xdr:row>
      <xdr:rowOff>47625</xdr:rowOff>
    </xdr:from>
    <xdr:to>
      <xdr:col>1</xdr:col>
      <xdr:colOff>420731</xdr:colOff>
      <xdr:row>56</xdr:row>
      <xdr:rowOff>6802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A135F9-4A77-4929-912B-23602096D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4447">
          <a:off x="224517" y="9882188"/>
          <a:ext cx="1386839" cy="1292677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0.82022</cdr:x>
      <cdr:y>0.10388</cdr:y>
    </cdr:from>
    <cdr:to>
      <cdr:x>0.96013</cdr:x>
      <cdr:y>0.26557</cdr:y>
    </cdr:to>
    <cdr:pic>
      <cdr:nvPicPr>
        <cdr:cNvPr id="4" name="Imagem 3">
          <a:extLst xmlns:a="http://schemas.openxmlformats.org/drawingml/2006/main">
            <a:ext uri="{FF2B5EF4-FFF2-40B4-BE49-F238E27FC236}">
              <a16:creationId xmlns:a16="http://schemas.microsoft.com/office/drawing/2014/main" id="{00A135F9-4A77-4929-912B-23602096D6C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496120" y="673111"/>
          <a:ext cx="1108087" cy="10477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0.82081</cdr:x>
      <cdr:y>0.09607</cdr:y>
    </cdr:from>
    <cdr:to>
      <cdr:x>0.98188</cdr:x>
      <cdr:y>0.2819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00A135F9-4A77-4929-912B-23602096D6C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500814" y="622526"/>
          <a:ext cx="1275638" cy="1204185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0.7709</cdr:x>
      <cdr:y>0.0949</cdr:y>
    </cdr:from>
    <cdr:to>
      <cdr:x>0.94993</cdr:x>
      <cdr:y>0.27571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E958DC75-AC93-4F29-AE88-8F7CB967843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105494" y="614953"/>
          <a:ext cx="1417918" cy="1171649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0.82724</cdr:x>
      <cdr:y>0.09037</cdr:y>
    </cdr:from>
    <cdr:to>
      <cdr:x>0.96576</cdr:x>
      <cdr:y>0.25206</cdr:y>
    </cdr:to>
    <cdr:pic>
      <cdr:nvPicPr>
        <cdr:cNvPr id="4" name="Imagem 3">
          <a:extLst xmlns:a="http://schemas.openxmlformats.org/drawingml/2006/main">
            <a:ext uri="{FF2B5EF4-FFF2-40B4-BE49-F238E27FC236}">
              <a16:creationId xmlns:a16="http://schemas.microsoft.com/office/drawing/2014/main" id="{00A135F9-4A77-4929-912B-23602096D6C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617986" y="585583"/>
          <a:ext cx="1108176" cy="1047751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346074</xdr:colOff>
      <xdr:row>0</xdr:row>
      <xdr:rowOff>106362</xdr:rowOff>
    </xdr:from>
    <xdr:to>
      <xdr:col>14</xdr:col>
      <xdr:colOff>297324</xdr:colOff>
      <xdr:row>26</xdr:row>
      <xdr:rowOff>77112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99447F1-DA75-424F-8DBB-48905B7F1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260804</xdr:colOff>
      <xdr:row>27</xdr:row>
      <xdr:rowOff>94116</xdr:rowOff>
    </xdr:from>
    <xdr:to>
      <xdr:col>14</xdr:col>
      <xdr:colOff>212054</xdr:colOff>
      <xdr:row>55</xdr:row>
      <xdr:rowOff>160116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F8FC03A-4E96-4057-837B-16FF809B8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473981</xdr:colOff>
      <xdr:row>0</xdr:row>
      <xdr:rowOff>134939</xdr:rowOff>
    </xdr:from>
    <xdr:to>
      <xdr:col>29</xdr:col>
      <xdr:colOff>425231</xdr:colOff>
      <xdr:row>26</xdr:row>
      <xdr:rowOff>105689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C6D12F0-501E-40A0-9237-F63972444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539069</xdr:colOff>
      <xdr:row>27</xdr:row>
      <xdr:rowOff>151493</xdr:rowOff>
    </xdr:from>
    <xdr:to>
      <xdr:col>29</xdr:col>
      <xdr:colOff>490319</xdr:colOff>
      <xdr:row>56</xdr:row>
      <xdr:rowOff>26993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D8175916-9848-4860-8C47-9E497BDDC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30</xdr:col>
      <xdr:colOff>369094</xdr:colOff>
      <xdr:row>0</xdr:row>
      <xdr:rowOff>250031</xdr:rowOff>
    </xdr:from>
    <xdr:to>
      <xdr:col>32</xdr:col>
      <xdr:colOff>407604</xdr:colOff>
      <xdr:row>4</xdr:row>
      <xdr:rowOff>13698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78F35A9-1233-47A9-B68D-B4F86F9BE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80969" y="250031"/>
          <a:ext cx="1252948" cy="1025730"/>
        </a:xfrm>
        <a:prstGeom prst="rect">
          <a:avLst/>
        </a:prstGeom>
      </xdr:spPr>
    </xdr:pic>
    <xdr:clientData/>
  </xdr:twoCellAnchor>
  <xdr:twoCellAnchor editAs="oneCell">
    <xdr:from>
      <xdr:col>30</xdr:col>
      <xdr:colOff>488156</xdr:colOff>
      <xdr:row>5</xdr:row>
      <xdr:rowOff>71438</xdr:rowOff>
    </xdr:from>
    <xdr:to>
      <xdr:col>32</xdr:col>
      <xdr:colOff>433496</xdr:colOff>
      <xdr:row>11</xdr:row>
      <xdr:rowOff>19509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FED342-7437-E52D-42BE-51602D74F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0031" y="1524001"/>
          <a:ext cx="1159778" cy="1091071"/>
        </a:xfrm>
        <a:prstGeom prst="rect">
          <a:avLst/>
        </a:prstGeom>
      </xdr:spPr>
    </xdr:pic>
    <xdr:clientData/>
  </xdr:twoCellAnchor>
  <xdr:twoCellAnchor editAs="oneCell">
    <xdr:from>
      <xdr:col>30</xdr:col>
      <xdr:colOff>302419</xdr:colOff>
      <xdr:row>0</xdr:row>
      <xdr:rowOff>250031</xdr:rowOff>
    </xdr:from>
    <xdr:to>
      <xdr:col>32</xdr:col>
      <xdr:colOff>340929</xdr:colOff>
      <xdr:row>4</xdr:row>
      <xdr:rowOff>13698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78F35A9-1233-47A9-B68D-B4F86F9BE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80969" y="250031"/>
          <a:ext cx="1257710" cy="1011442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0.82417</cdr:x>
      <cdr:y>0.01819</cdr:y>
    </cdr:from>
    <cdr:to>
      <cdr:x>0.96274</cdr:x>
      <cdr:y>0.20517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C78F35A9-1233-47A9-B68D-B4F86F9BE69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480300" y="98425"/>
          <a:ext cx="1257710" cy="1011442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0.85069</cdr:x>
      <cdr:y>0.01137</cdr:y>
    </cdr:from>
    <cdr:to>
      <cdr:x>0.97888</cdr:x>
      <cdr:y>0.21304</cdr:y>
    </cdr:to>
    <cdr:pic>
      <cdr:nvPicPr>
        <cdr:cNvPr id="6" name="Imagem 5">
          <a:extLst xmlns:a="http://schemas.openxmlformats.org/drawingml/2006/main">
            <a:ext uri="{FF2B5EF4-FFF2-40B4-BE49-F238E27FC236}">
              <a16:creationId xmlns:a16="http://schemas.microsoft.com/office/drawing/2014/main" id="{4B0E780A-D2CD-2BCB-8C13-072678C966F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724494" y="62066"/>
          <a:ext cx="1163986" cy="1101105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0.85565</cdr:x>
      <cdr:y>0.00623</cdr:y>
    </cdr:from>
    <cdr:to>
      <cdr:x>0.98367</cdr:x>
      <cdr:y>0.2074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798A853D-1F8C-87C4-ECA0-7681B2AE3E4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751773" y="33813"/>
          <a:ext cx="1159801" cy="109110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0.85749</cdr:x>
      <cdr:y>0.01602</cdr:y>
    </cdr:from>
    <cdr:to>
      <cdr:x>0.98551</cdr:x>
      <cdr:y>0.21769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4B0E780A-D2CD-2BCB-8C13-072678C966F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768452" y="86519"/>
          <a:ext cx="1159778" cy="1089018"/>
        </a:xfrm>
        <a:prstGeom xmlns:a="http://schemas.openxmlformats.org/drawingml/2006/main" prst="rect">
          <a:avLst/>
        </a:prstGeom>
      </cdr:spPr>
    </cdr:pic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4</xdr:row>
      <xdr:rowOff>0</xdr:rowOff>
    </xdr:from>
    <xdr:to>
      <xdr:col>15</xdr:col>
      <xdr:colOff>276225</xdr:colOff>
      <xdr:row>19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48DA0E-5C4F-41FC-9EF7-F058523ED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276224</xdr:colOff>
      <xdr:row>3</xdr:row>
      <xdr:rowOff>85725</xdr:rowOff>
    </xdr:from>
    <xdr:to>
      <xdr:col>18</xdr:col>
      <xdr:colOff>361949</xdr:colOff>
      <xdr:row>18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D25FA2-58ED-4C9C-AFC6-392C353AF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684068</xdr:colOff>
      <xdr:row>1</xdr:row>
      <xdr:rowOff>121227</xdr:rowOff>
    </xdr:from>
    <xdr:to>
      <xdr:col>15</xdr:col>
      <xdr:colOff>216477</xdr:colOff>
      <xdr:row>17</xdr:row>
      <xdr:rowOff>77932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9EA5EA-5DCB-443C-84F8-86C8B05CA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1</xdr:row>
      <xdr:rowOff>4762</xdr:rowOff>
    </xdr:from>
    <xdr:to>
      <xdr:col>14</xdr:col>
      <xdr:colOff>457200</xdr:colOff>
      <xdr:row>19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5AC920-1A74-4455-BEC9-9308CCED3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ime" refreshedDate="44785.657986921295" createdVersion="6" refreshedVersion="6" minRefreshableVersion="3" recordCount="25">
  <cacheSource type="worksheet">
    <worksheetSource name="Tabela3"/>
  </cacheSource>
  <cacheFields count="21">
    <cacheField name="ANO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MÊS" numFmtId="0">
      <sharedItems containsBlank="1" count="13">
        <s v="Jan"/>
        <s v="Fev"/>
        <s v="Mar"/>
        <s v="Abr"/>
        <s v="Mai"/>
        <s v="Jun"/>
        <s v="Jul"/>
        <s v="Ago"/>
        <s v="Set"/>
        <s v="Out"/>
        <s v="Nov"/>
        <s v="Dez"/>
        <m u="1"/>
      </sharedItems>
    </cacheField>
    <cacheField name="N° DE FUNCIONÁRIOS" numFmtId="0">
      <sharedItems containsString="0" containsBlank="1" containsNumber="1" containsInteger="1" minValue="18" maxValue="29"/>
    </cacheField>
    <cacheField name="SALÁRIOS" numFmtId="0">
      <sharedItems containsString="0" containsBlank="1" containsNumber="1" minValue="34999.339999999997" maxValue="75188.14"/>
    </cacheField>
    <cacheField name="HHT" numFmtId="0">
      <sharedItems containsString="0" containsBlank="1" containsNumber="1" minValue="4357.43" maxValue="7087.6900000000005"/>
    </cacheField>
    <cacheField name="FALTAS JUSTIFICADAS (horas)" numFmtId="0">
      <sharedItems containsString="0" containsBlank="1" containsNumber="1" minValue="28.62" maxValue="839.87"/>
    </cacheField>
    <cacheField name="FALTAS INJUSTIFICDAS (horas)" numFmtId="0">
      <sharedItems containsString="0" containsBlank="1" containsNumber="1" minValue="46.59" maxValue="229.39"/>
    </cacheField>
    <cacheField name="QUANT. DE HORAS EXTRAS" numFmtId="0">
      <sharedItems containsString="0" containsBlank="1" containsNumber="1" minValue="48.980000000000004" maxValue="917.2"/>
    </cacheField>
    <cacheField name="VALOR DAS HORAS EXTRAS" numFmtId="0">
      <sharedItems containsBlank="1" containsMixedTypes="1" containsNumber="1" minValue="369.18" maxValue="12834.11"/>
    </cacheField>
    <cacheField name="NUMERO DE TREINAMENTOS" numFmtId="0">
      <sharedItems containsString="0" containsBlank="1" containsNumber="1" containsInteger="1" minValue="3" maxValue="15"/>
    </cacheField>
    <cacheField name="HORAS DE TREINAMENTOS" numFmtId="0">
      <sharedItems containsString="0" containsBlank="1" containsNumber="1" containsInteger="1" minValue="52" maxValue="134"/>
    </cacheField>
    <cacheField name="ABSENTEÍSMO" numFmtId="10">
      <sharedItems containsMixedTypes="1" containsNumber="1" minValue="5.593897140310655E-3" maxValue="0.13829778475228516" count="20">
        <n v="1.6821842232692206E-2"/>
        <n v="5.5920412961620737E-2"/>
        <n v="0.11229151316230157"/>
        <n v="5.747106468914899E-2"/>
        <n v="4.0129969319991202E-2"/>
        <n v="2.93715654785115E-2"/>
        <n v="2.2329127521284318E-2"/>
        <n v="5.593897140310655E-3"/>
        <n v="1.1310744107062724E-2"/>
        <n v="2.931663069474421E-2"/>
        <n v="2.4459309027341773E-2"/>
        <n v="3.7796042295978528E-2"/>
        <n v="0.13829778475228516"/>
        <n v="8.8099816645051648E-2"/>
        <n v="1.9430437319352924E-2"/>
        <n v="1.0167016378826657E-2"/>
        <n v="2.254874149149632E-2"/>
        <n v="1.7388568232093365E-2"/>
        <n v="6.0551198004088938E-2"/>
        <e v="#DIV/0!"/>
      </sharedItems>
    </cacheField>
    <cacheField name="FALTAS INJUSTIFICADAS / HHT" numFmtId="10">
      <sharedItems containsMixedTypes="1" containsNumber="1" minValue="7.6717751456879821E-3" maxValue="3.7613135225179485E-2"/>
    </cacheField>
    <cacheField name="HORAS EXTRAS / HHT" numFmtId="10">
      <sharedItems containsMixedTypes="1" containsNumber="1" minValue="7.6186269050455913E-3" maxValue="0.13375721868984425"/>
    </cacheField>
    <cacheField name="HORAS DE TREINAMENTO / HHT" numFmtId="10">
      <sharedItems containsMixedTypes="1" containsNumber="1" minValue="8.0883748277331708E-3" maxValue="2.4336923728920237E-2"/>
    </cacheField>
    <cacheField name="Coluna1" numFmtId="10">
      <sharedItems containsNonDate="0" containsString="0" containsBlank="1"/>
    </cacheField>
    <cacheField name="Coluna2" numFmtId="10">
      <sharedItems containsNonDate="0" containsString="0" containsBlank="1"/>
    </cacheField>
    <cacheField name="Coluna3" numFmtId="10">
      <sharedItems containsNonDate="0" containsString="0" containsBlank="1"/>
    </cacheField>
    <cacheField name="META 1,2%" numFmtId="10">
      <sharedItems containsString="0" containsBlank="1" containsNumber="1" minValue="1.2E-2" maxValue="1.2E-2"/>
    </cacheField>
    <cacheField name="META 1,5%" numFmtId="10">
      <sharedItems containsString="0" containsBlank="1" containsNumber="1" minValue="1.4999999999999999E-2" maxValue="1.4999999999999999E-2"/>
    </cacheField>
    <cacheField name="META 6%" numFmtId="10">
      <sharedItems containsString="0" containsBlank="1" containsNumber="1" minValue="0.06" maxValue="0.06" count="2">
        <n v="0.06"/>
        <m/>
      </sharedItems>
    </cacheField>
  </cacheFields>
  <extLst>
    <ext xmlns:x14="http://schemas.microsoft.com/office/spreadsheetml/2009/9/main" uri="{725AE2AE-9491-48be-B2B4-4EB974FC3084}">
      <x14:pivotCacheDefinition pivotCacheId="124843813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h" refreshedDate="46147.675369560187" createdVersion="6" refreshedVersion="6" minRefreshableVersion="3" recordCount="13">
  <cacheSource type="worksheet">
    <worksheetSource name="Tabela35"/>
  </cacheSource>
  <cacheFields count="20">
    <cacheField name="ANO" numFmtId="0">
      <sharedItems containsSemiMixedTypes="0" containsString="0" containsNumber="1" containsInteger="1" minValue="2022" maxValue="2026" count="4">
        <n v="2026"/>
        <n v="2025"/>
        <n v="2022" u="1"/>
        <n v="2023" u="1"/>
      </sharedItems>
    </cacheField>
    <cacheField name="MÊS" numFmtId="0">
      <sharedItems count="13">
        <s v="Jan"/>
        <s v="Fev"/>
        <s v="Mar"/>
        <s v="Abr"/>
        <s v="Mai"/>
        <s v="Jun"/>
        <s v="Jul"/>
        <s v="Ago"/>
        <s v="Set"/>
        <s v="Out"/>
        <s v="Nov"/>
        <s v="Dez"/>
        <s v="Media"/>
      </sharedItems>
    </cacheField>
    <cacheField name="N° DE FUNCIONÁRIOS" numFmtId="0">
      <sharedItems containsString="0" containsBlank="1" containsNumber="1" minValue="11.916666666666666" maxValue="38"/>
    </cacheField>
    <cacheField name="SALÁRIOS" numFmtId="44">
      <sharedItems containsString="0" containsBlank="1" containsNumber="1" minValue="87223.95" maxValue="130430.89"/>
    </cacheField>
    <cacheField name="HHT" numFmtId="2">
      <sharedItems containsSemiMixedTypes="0" containsString="0" containsNumber="1" minValue="0" maxValue="8842.32"/>
    </cacheField>
    <cacheField name="FALTAS JUSTIFICADAS (horas)" numFmtId="2">
      <sharedItems containsString="0" containsBlank="1" containsNumber="1" containsInteger="1" minValue="83" maxValue="318"/>
    </cacheField>
    <cacheField name="FALTAS INJUSTIFICDAS (horas)" numFmtId="2">
      <sharedItems containsString="0" containsBlank="1" containsNumber="1" minValue="24.166666666666668" maxValue="194"/>
    </cacheField>
    <cacheField name="QUANT. DE HORAS EXTRAS" numFmtId="2">
      <sharedItems containsString="0" containsBlank="1" containsNumber="1" minValue="173.55" maxValue="1247.8400000000001"/>
    </cacheField>
    <cacheField name="VALOR DAS HORAS EXTRAS" numFmtId="2">
      <sharedItems containsString="0" containsBlank="1" containsNumber="1" minValue="2538.2716666666665" maxValue="11414.7"/>
    </cacheField>
    <cacheField name="NUMERO DE TREINAMENTOS" numFmtId="0">
      <sharedItems containsString="0" containsBlank="1" containsNumber="1" minValue="4.25" maxValue="17"/>
    </cacheField>
    <cacheField name="HORAS DE TREINAMENTOS" numFmtId="0">
      <sharedItems containsString="0" containsBlank="1" containsNumber="1" minValue="74.541666666666671" maxValue="246"/>
    </cacheField>
    <cacheField name="ABSENTEÍSMO" numFmtId="10">
      <sharedItems containsMixedTypes="1" containsNumber="1" minValue="2.1989532509632245E-2" maxValue="3.9882609677176613E-2"/>
    </cacheField>
    <cacheField name="FALTAS INJUSTIFICADAS / HHT" numFmtId="10">
      <sharedItems containsMixedTypes="1" containsNumber="1" minValue="3.4976558979222579E-3" maxValue="2.2935318854132556E-2"/>
    </cacheField>
    <cacheField name="HORAS EXTRAS / HHT" numFmtId="10">
      <sharedItems containsMixedTypes="1" containsNumber="1" minValue="2.3346853118631071E-2" maxValue="0.45781317262161009"/>
    </cacheField>
    <cacheField name="HORAS DE TREINAMENTO / HHT" numFmtId="10">
      <sharedItems containsMixedTypes="1" containsNumber="1" minValue="2.6245571059883645E-2" maxValue="2.7820752924571833E-2"/>
    </cacheField>
    <cacheField name="META 1,2%" numFmtId="10">
      <sharedItems containsSemiMixedTypes="0" containsString="0" containsNumber="1" minValue="1.2E-2" maxValue="1.2E-2"/>
    </cacheField>
    <cacheField name="META 1,5%" numFmtId="10">
      <sharedItems containsSemiMixedTypes="0" containsString="0" containsNumber="1" minValue="1.4999999999999999E-2" maxValue="1.4999999999999999E-2"/>
    </cacheField>
    <cacheField name="META 3%" numFmtId="10">
      <sharedItems containsSemiMixedTypes="0" containsString="0" containsNumber="1" minValue="0.03" maxValue="0.03"/>
    </cacheField>
    <cacheField name="META 4,5%" numFmtId="10">
      <sharedItems containsSemiMixedTypes="0" containsString="0" containsNumber="1" minValue="0.02" maxValue="0.02"/>
    </cacheField>
    <cacheField name="META 6%" numFmtId="10">
      <sharedItems containsSemiMixedTypes="0" containsString="0" containsNumber="1" minValue="0.1" maxValue="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18"/>
    <n v="34999.339999999997"/>
    <n v="4357.43"/>
    <n v="73.3"/>
    <n v="64.2"/>
    <n v="397.43"/>
    <n v="6341.75"/>
    <n v="4"/>
    <n v="66"/>
    <x v="0"/>
    <n v="1.4733455270652654E-2"/>
    <n v="9.1207431903667979E-2"/>
    <n v="1.5146542801605533E-2"/>
    <m/>
    <m/>
    <m/>
    <n v="1.2E-2"/>
    <n v="1.4999999999999999E-2"/>
    <x v="0"/>
  </r>
  <r>
    <x v="0"/>
    <x v="1"/>
    <n v="19"/>
    <n v="36319.43"/>
    <n v="4525.3599999999997"/>
    <n v="253.06"/>
    <n v="82.28"/>
    <n v="345.36"/>
    <n v="5344.13"/>
    <n v="4"/>
    <n v="63"/>
    <x v="1"/>
    <n v="1.8181978892287023E-2"/>
    <n v="7.6316580338359835E-2"/>
    <n v="1.3921544363321372E-2"/>
    <m/>
    <m/>
    <m/>
    <n v="1.2E-2"/>
    <n v="1.4999999999999999E-2"/>
    <x v="0"/>
  </r>
  <r>
    <x v="0"/>
    <x v="2"/>
    <n v="20"/>
    <n v="39162.58"/>
    <n v="4478.7"/>
    <n v="502.92"/>
    <n v="90.13"/>
    <n v="78.7"/>
    <n v="1454.2"/>
    <n v="4"/>
    <n v="74"/>
    <x v="2"/>
    <n v="2.0124143166543863E-2"/>
    <n v="1.7572063321946101E-2"/>
    <n v="1.6522651662312725E-2"/>
    <m/>
    <m/>
    <m/>
    <n v="1.2E-2"/>
    <n v="1.4999999999999999E-2"/>
    <x v="0"/>
  </r>
  <r>
    <x v="0"/>
    <x v="3"/>
    <n v="20"/>
    <n v="41451.74"/>
    <n v="4605.1000000000004"/>
    <n v="264.66000000000003"/>
    <n v="77.13"/>
    <n v="205.1"/>
    <n v="3749.63"/>
    <n v="4"/>
    <n v="62"/>
    <x v="3"/>
    <n v="1.6748821958263663E-2"/>
    <n v="4.453757790275998E-2"/>
    <n v="1.3463334129552017E-2"/>
    <m/>
    <m/>
    <m/>
    <n v="1.2E-2"/>
    <n v="1.4999999999999999E-2"/>
    <x v="0"/>
  </r>
  <r>
    <x v="0"/>
    <x v="4"/>
    <n v="20"/>
    <n v="44752.71"/>
    <n v="4634.9399999999996"/>
    <n v="186"/>
    <n v="163.44999999999999"/>
    <n v="234.94"/>
    <n v="3804.42"/>
    <n v="4"/>
    <n v="88"/>
    <x v="4"/>
    <n v="3.5264749921250331E-2"/>
    <n v="5.0688897806659854E-2"/>
    <n v="1.8986222043866803E-2"/>
    <m/>
    <m/>
    <m/>
    <n v="1.2E-2"/>
    <n v="1.4999999999999999E-2"/>
    <x v="0"/>
  </r>
  <r>
    <x v="0"/>
    <x v="5"/>
    <n v="21"/>
    <n v="44263.4"/>
    <n v="4975.22"/>
    <n v="146.13"/>
    <n v="97.22"/>
    <n v="355.22"/>
    <n v="5804.42"/>
    <n v="4"/>
    <n v="61"/>
    <x v="5"/>
    <n v="1.9540844424970151E-2"/>
    <n v="7.1397847733366562E-2"/>
    <n v="1.2260764348109229E-2"/>
    <m/>
    <m/>
    <m/>
    <n v="1.2E-2"/>
    <n v="1.4999999999999999E-2"/>
    <x v="0"/>
  </r>
  <r>
    <x v="0"/>
    <x v="6"/>
    <n v="21"/>
    <n v="41501.160000000003"/>
    <n v="4766.42"/>
    <n v="106.43"/>
    <n v="179.28"/>
    <n v="146.41999999999999"/>
    <n v="2148.69"/>
    <n v="8"/>
    <n v="116"/>
    <x v="6"/>
    <n v="3.7613135225179485E-2"/>
    <n v="3.0719072175762939E-2"/>
    <n v="2.4336923728920237E-2"/>
    <m/>
    <m/>
    <m/>
    <n v="1.2E-2"/>
    <n v="1.4999999999999999E-2"/>
    <x v="0"/>
  </r>
  <r>
    <x v="0"/>
    <x v="7"/>
    <n v="21"/>
    <n v="46800.19"/>
    <n v="5116.29"/>
    <n v="28.62"/>
    <n v="61.57"/>
    <n v="496.29"/>
    <n v="6922.23"/>
    <n v="5"/>
    <n v="94"/>
    <x v="7"/>
    <n v="1.2034110654399965E-2"/>
    <n v="9.7001929132242315E-2"/>
    <n v="1.837268802198468E-2"/>
    <m/>
    <m/>
    <m/>
    <n v="1.2E-2"/>
    <n v="1.4999999999999999E-2"/>
    <x v="0"/>
  </r>
  <r>
    <x v="0"/>
    <x v="8"/>
    <n v="27"/>
    <n v="56920.17"/>
    <n v="6819.18"/>
    <n v="77.13"/>
    <n v="188.87"/>
    <n v="879.18"/>
    <n v="12834.11"/>
    <n v="7"/>
    <n v="83"/>
    <x v="8"/>
    <n v="2.7696878510319423E-2"/>
    <n v="0.12892752501033847"/>
    <n v="1.2171551418205707E-2"/>
    <m/>
    <m/>
    <m/>
    <n v="1.2E-2"/>
    <n v="1.4999999999999999E-2"/>
    <x v="0"/>
  </r>
  <r>
    <x v="0"/>
    <x v="9"/>
    <n v="27"/>
    <n v="64211.28"/>
    <n v="6857.2"/>
    <n v="201.03"/>
    <n v="134.78"/>
    <n v="917.2"/>
    <n v="11361.3"/>
    <n v="15"/>
    <n v="122"/>
    <x v="9"/>
    <n v="1.9655252872892725E-2"/>
    <n v="0.13375721868984425"/>
    <n v="1.7791518404013301E-2"/>
    <m/>
    <m/>
    <m/>
    <n v="1.2E-2"/>
    <n v="1.4999999999999999E-2"/>
    <x v="0"/>
  </r>
  <r>
    <x v="0"/>
    <x v="10"/>
    <n v="29"/>
    <n v="75188.14"/>
    <n v="7087.6900000000005"/>
    <n v="173.36"/>
    <n v="229.39"/>
    <n v="707.69"/>
    <n v="11945.33"/>
    <n v="7"/>
    <n v="115"/>
    <x v="10"/>
    <n v="3.236456447728385E-2"/>
    <n v="9.9847764222193686E-2"/>
    <n v="1.6225314594741021E-2"/>
    <m/>
    <m/>
    <m/>
    <n v="1.2E-2"/>
    <n v="1.4999999999999999E-2"/>
    <x v="0"/>
  </r>
  <r>
    <x v="0"/>
    <x v="11"/>
    <n v="29"/>
    <n v="68173.61"/>
    <n v="6428.98"/>
    <n v="242.99"/>
    <n v="64.14"/>
    <n v="48.980000000000004"/>
    <n v="369.18"/>
    <n v="3"/>
    <n v="52"/>
    <x v="11"/>
    <n v="9.976699258669338E-3"/>
    <n v="7.6186269050455913E-3"/>
    <n v="8.0883748277331708E-3"/>
    <m/>
    <m/>
    <m/>
    <n v="1.2E-2"/>
    <n v="1.4999999999999999E-2"/>
    <x v="0"/>
  </r>
  <r>
    <x v="1"/>
    <x v="0"/>
    <n v="27"/>
    <n v="61011.13"/>
    <n v="6072.91"/>
    <n v="839.87"/>
    <n v="46.59"/>
    <n v="132.91"/>
    <s v="2.263,35‬"/>
    <n v="9"/>
    <n v="126"/>
    <x v="12"/>
    <n v="7.6717751456879821E-3"/>
    <n v="2.1885718708164619E-2"/>
    <n v="2.0747878694069237E-2"/>
    <m/>
    <m/>
    <m/>
    <n v="1.2E-2"/>
    <n v="1.4999999999999999E-2"/>
    <x v="0"/>
  </r>
  <r>
    <x v="1"/>
    <x v="1"/>
    <n v="25"/>
    <n v="54585.35"/>
    <n v="5590.25"/>
    <n v="492.5"/>
    <n v="93.52"/>
    <n v="90.25"/>
    <n v="1451.21"/>
    <n v="9"/>
    <n v="119"/>
    <x v="13"/>
    <n v="1.6729126604355798E-2"/>
    <n v="1.6144179598407943E-2"/>
    <n v="2.1287062295961719E-2"/>
    <m/>
    <m/>
    <m/>
    <n v="1.2E-2"/>
    <n v="1.4999999999999999E-2"/>
    <x v="0"/>
  </r>
  <r>
    <x v="1"/>
    <x v="2"/>
    <n v="26"/>
    <n v="55022.55"/>
    <n v="5947.37"/>
    <n v="115.56"/>
    <n v="88.47"/>
    <n v="227.37"/>
    <n v="4067.7899999999995"/>
    <n v="8"/>
    <n v="89"/>
    <x v="14"/>
    <n v="1.4875482776420501E-2"/>
    <n v="3.8230343832652079E-2"/>
    <n v="1.4964597797009436E-2"/>
    <m/>
    <m/>
    <m/>
    <n v="1.2E-2"/>
    <n v="1.4999999999999999E-2"/>
    <x v="0"/>
  </r>
  <r>
    <x v="1"/>
    <x v="3"/>
    <n v="27"/>
    <n v="63688.01"/>
    <n v="6505.35"/>
    <n v="66.14"/>
    <n v="103.49"/>
    <n v="565.35"/>
    <n v="9634.19"/>
    <n v="5"/>
    <n v="92"/>
    <x v="15"/>
    <n v="1.5908444587916099E-2"/>
    <n v="8.6905393253245408E-2"/>
    <n v="1.4142206030421114E-2"/>
    <m/>
    <m/>
    <m/>
    <n v="1.2E-2"/>
    <n v="1.4999999999999999E-2"/>
    <x v="0"/>
  </r>
  <r>
    <x v="1"/>
    <x v="4"/>
    <n v="28"/>
    <n v="67510.149999999994"/>
    <n v="6732.97"/>
    <n v="151.82"/>
    <n v="114.18"/>
    <n v="572.97"/>
    <n v="7532.48"/>
    <n v="5"/>
    <n v="134"/>
    <x v="16"/>
    <n v="1.6958340821361152E-2"/>
    <n v="8.5099146439090029E-2"/>
    <n v="1.9902064022266547E-2"/>
    <m/>
    <m/>
    <m/>
    <n v="1.2E-2"/>
    <n v="1.4999999999999999E-2"/>
    <x v="0"/>
  </r>
  <r>
    <x v="1"/>
    <x v="5"/>
    <n v="27"/>
    <n v="64857.93"/>
    <n v="6292.64"/>
    <n v="109.42"/>
    <n v="62.3"/>
    <n v="352.64"/>
    <n v="3436.54"/>
    <n v="6"/>
    <n v="123"/>
    <x v="17"/>
    <n v="9.9004551348877406E-3"/>
    <n v="5.6040072211345313E-2"/>
    <n v="1.9546644969361031E-2"/>
    <m/>
    <m/>
    <m/>
    <n v="1.2E-2"/>
    <n v="1.4999999999999999E-2"/>
    <x v="0"/>
  </r>
  <r>
    <x v="1"/>
    <x v="6"/>
    <n v="25"/>
    <n v="66370.91"/>
    <n v="5683.62"/>
    <n v="344.15"/>
    <n v="65.459999999999994"/>
    <n v="183.62"/>
    <n v="3196.51"/>
    <n v="6"/>
    <n v="92"/>
    <x v="18"/>
    <n v="1.1517307631403928E-2"/>
    <n v="3.2306874843849517E-2"/>
    <n v="1.6186866820793792E-2"/>
    <m/>
    <m/>
    <m/>
    <n v="1.2E-2"/>
    <n v="1.4999999999999999E-2"/>
    <x v="0"/>
  </r>
  <r>
    <x v="1"/>
    <x v="7"/>
    <m/>
    <m/>
    <m/>
    <m/>
    <m/>
    <m/>
    <m/>
    <m/>
    <m/>
    <x v="19"/>
    <e v="#DIV/0!"/>
    <e v="#DIV/0!"/>
    <e v="#DIV/0!"/>
    <m/>
    <m/>
    <m/>
    <n v="1.2E-2"/>
    <n v="1.4999999999999999E-2"/>
    <x v="0"/>
  </r>
  <r>
    <x v="1"/>
    <x v="8"/>
    <m/>
    <m/>
    <m/>
    <m/>
    <m/>
    <m/>
    <m/>
    <m/>
    <m/>
    <x v="19"/>
    <e v="#DIV/0!"/>
    <e v="#DIV/0!"/>
    <e v="#DIV/0!"/>
    <m/>
    <m/>
    <m/>
    <n v="1.2E-2"/>
    <n v="1.4999999999999999E-2"/>
    <x v="0"/>
  </r>
  <r>
    <x v="1"/>
    <x v="9"/>
    <m/>
    <m/>
    <m/>
    <m/>
    <m/>
    <m/>
    <m/>
    <m/>
    <m/>
    <x v="19"/>
    <e v="#DIV/0!"/>
    <e v="#DIV/0!"/>
    <e v="#DIV/0!"/>
    <m/>
    <m/>
    <m/>
    <n v="1.2E-2"/>
    <n v="1.4999999999999999E-2"/>
    <x v="0"/>
  </r>
  <r>
    <x v="1"/>
    <x v="10"/>
    <m/>
    <m/>
    <m/>
    <m/>
    <m/>
    <m/>
    <m/>
    <m/>
    <m/>
    <x v="19"/>
    <e v="#DIV/0!"/>
    <e v="#DIV/0!"/>
    <e v="#DIV/0!"/>
    <m/>
    <m/>
    <m/>
    <n v="1.2E-2"/>
    <n v="1.4999999999999999E-2"/>
    <x v="0"/>
  </r>
  <r>
    <x v="1"/>
    <x v="11"/>
    <m/>
    <m/>
    <m/>
    <m/>
    <m/>
    <m/>
    <m/>
    <m/>
    <m/>
    <x v="19"/>
    <e v="#DIV/0!"/>
    <e v="#DIV/0!"/>
    <e v="#DIV/0!"/>
    <m/>
    <m/>
    <m/>
    <n v="1.2E-2"/>
    <n v="1.4999999999999999E-2"/>
    <x v="0"/>
  </r>
  <r>
    <x v="2"/>
    <x v="0"/>
    <m/>
    <m/>
    <m/>
    <m/>
    <m/>
    <m/>
    <m/>
    <m/>
    <m/>
    <x v="19"/>
    <e v="#DIV/0!"/>
    <e v="#DIV/0!"/>
    <e v="#DIV/0!"/>
    <m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">
  <r>
    <x v="0"/>
    <x v="0"/>
    <n v="37"/>
    <n v="110112.19"/>
    <n v="8458.57"/>
    <n v="186"/>
    <n v="194"/>
    <n v="318.57"/>
    <n v="7497.76"/>
    <n v="12"/>
    <n v="222"/>
    <n v="2.1989532509632245E-2"/>
    <n v="2.2935318854132556E-2"/>
    <n v="3.766239447093303E-2"/>
    <n v="2.6245571059883645E-2"/>
    <n v="1.2E-2"/>
    <n v="1.4999999999999999E-2"/>
    <n v="0.03"/>
    <n v="0.02"/>
    <n v="0.1"/>
  </r>
  <r>
    <x v="0"/>
    <x v="1"/>
    <n v="38"/>
    <n v="101335.25"/>
    <n v="8842.32"/>
    <n v="280"/>
    <n v="36"/>
    <n v="482.32"/>
    <n v="11414.7"/>
    <n v="9"/>
    <n v="246"/>
    <n v="3.1665897637724039E-2"/>
    <n v="4.0713296962788048E-3"/>
    <n v="5.4546770530810917E-2"/>
    <n v="2.7820752924571833E-2"/>
    <n v="1.2E-2"/>
    <n v="1.4999999999999999E-2"/>
    <n v="0.03"/>
    <n v="0.02"/>
    <n v="0.1"/>
  </r>
  <r>
    <x v="0"/>
    <x v="2"/>
    <n v="33"/>
    <n v="110610.27"/>
    <n v="7433.55"/>
    <n v="212"/>
    <n v="26"/>
    <n v="173.55"/>
    <n v="4247.28"/>
    <n v="13"/>
    <n v="206"/>
    <n v="2.8519348090750716E-2"/>
    <n v="3.4976558979222579E-3"/>
    <n v="2.3346853118631071E-2"/>
    <n v="2.7712196729691736E-2"/>
    <n v="1.2E-2"/>
    <n v="1.4999999999999999E-2"/>
    <n v="0.03"/>
    <n v="0.02"/>
    <n v="0.1"/>
  </r>
  <r>
    <x v="0"/>
    <x v="3"/>
    <n v="35"/>
    <n v="130430.89"/>
    <n v="7973.4"/>
    <n v="318"/>
    <n v="34"/>
    <n v="273.39999999999998"/>
    <n v="7299.52"/>
    <n v="17"/>
    <n v="220.5"/>
    <n v="3.9882609677176613E-2"/>
    <n v="4.2641783931572476E-3"/>
    <n v="3.4289010961446813E-2"/>
    <n v="2.7654451049740389E-2"/>
    <n v="1.2E-2"/>
    <n v="1.4999999999999999E-2"/>
    <n v="0.03"/>
    <n v="0.02"/>
    <n v="0.1"/>
  </r>
  <r>
    <x v="0"/>
    <x v="4"/>
    <m/>
    <n v="111582.01"/>
    <n v="0"/>
    <m/>
    <m/>
    <m/>
    <m/>
    <m/>
    <m/>
    <e v="#DIV/0!"/>
    <e v="#DIV/0!"/>
    <e v="#DIV/0!"/>
    <e v="#DIV/0!"/>
    <n v="1.2E-2"/>
    <n v="1.4999999999999999E-2"/>
    <n v="0.03"/>
    <n v="0.02"/>
    <n v="0.1"/>
  </r>
  <r>
    <x v="0"/>
    <x v="5"/>
    <m/>
    <n v="92590.25"/>
    <n v="0"/>
    <m/>
    <m/>
    <m/>
    <m/>
    <m/>
    <m/>
    <e v="#DIV/0!"/>
    <e v="#DIV/0!"/>
    <e v="#DIV/0!"/>
    <e v="#DIV/0!"/>
    <n v="1.2E-2"/>
    <n v="1.4999999999999999E-2"/>
    <n v="0.03"/>
    <n v="0.02"/>
    <n v="0.1"/>
  </r>
  <r>
    <x v="0"/>
    <x v="6"/>
    <m/>
    <n v="92325.83"/>
    <n v="0"/>
    <m/>
    <m/>
    <m/>
    <m/>
    <m/>
    <m/>
    <e v="#DIV/0!"/>
    <e v="#DIV/0!"/>
    <e v="#DIV/0!"/>
    <e v="#DIV/0!"/>
    <n v="1.2E-2"/>
    <n v="1.4999999999999999E-2"/>
    <n v="0.03"/>
    <n v="0.02"/>
    <n v="0.1"/>
  </r>
  <r>
    <x v="0"/>
    <x v="7"/>
    <m/>
    <n v="89597.66"/>
    <n v="0"/>
    <m/>
    <m/>
    <m/>
    <m/>
    <m/>
    <m/>
    <e v="#DIV/0!"/>
    <e v="#DIV/0!"/>
    <e v="#DIV/0!"/>
    <e v="#DIV/0!"/>
    <n v="1.2E-2"/>
    <n v="1.4999999999999999E-2"/>
    <n v="0.03"/>
    <n v="0.02"/>
    <n v="0.1"/>
  </r>
  <r>
    <x v="0"/>
    <x v="8"/>
    <m/>
    <n v="87223.95"/>
    <n v="0"/>
    <m/>
    <m/>
    <m/>
    <m/>
    <m/>
    <m/>
    <e v="#DIV/0!"/>
    <e v="#DIV/0!"/>
    <e v="#DIV/0!"/>
    <e v="#DIV/0!"/>
    <n v="1.2E-2"/>
    <n v="1.4999999999999999E-2"/>
    <n v="0.03"/>
    <n v="0.02"/>
    <n v="0.1"/>
  </r>
  <r>
    <x v="0"/>
    <x v="9"/>
    <m/>
    <n v="88731.31"/>
    <n v="0"/>
    <m/>
    <m/>
    <m/>
    <m/>
    <m/>
    <m/>
    <e v="#DIV/0!"/>
    <e v="#DIV/0!"/>
    <e v="#DIV/0!"/>
    <e v="#DIV/0!"/>
    <n v="1.2E-2"/>
    <n v="1.4999999999999999E-2"/>
    <n v="0.03"/>
    <n v="0.02"/>
    <n v="0.1"/>
  </r>
  <r>
    <x v="0"/>
    <x v="10"/>
    <m/>
    <n v="107418.72"/>
    <n v="0"/>
    <m/>
    <m/>
    <m/>
    <m/>
    <m/>
    <m/>
    <e v="#DIV/0!"/>
    <e v="#DIV/0!"/>
    <e v="#DIV/0!"/>
    <e v="#DIV/0!"/>
    <n v="1.2E-2"/>
    <n v="1.4999999999999999E-2"/>
    <n v="0.03"/>
    <n v="0.02"/>
    <n v="0.1"/>
  </r>
  <r>
    <x v="0"/>
    <x v="11"/>
    <m/>
    <m/>
    <n v="0"/>
    <m/>
    <m/>
    <m/>
    <m/>
    <m/>
    <m/>
    <e v="#DIV/0!"/>
    <e v="#DIV/0!"/>
    <e v="#DIV/0!"/>
    <e v="#DIV/0!"/>
    <n v="1.2E-2"/>
    <n v="1.4999999999999999E-2"/>
    <n v="0.03"/>
    <n v="0.02"/>
    <n v="0.1"/>
  </r>
  <r>
    <x v="1"/>
    <x v="12"/>
    <n v="11.916666666666666"/>
    <n v="93496.527499999982"/>
    <n v="2725.6533333333332"/>
    <n v="83"/>
    <n v="24.166666666666668"/>
    <n v="1247.8400000000001"/>
    <n v="2538.2716666666665"/>
    <n v="4.25"/>
    <n v="74.541666666666671"/>
    <n v="3.0451414706688062E-2"/>
    <n v="8.8663757680115841E-3"/>
    <n v="0.45781317262161009"/>
    <n v="2.7348183187884009E-2"/>
    <n v="1.2E-2"/>
    <n v="1.4999999999999999E-2"/>
    <n v="0.03"/>
    <n v="0.02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3">
  <location ref="A3:C16" firstHeaderRow="0" firstDataRow="1" firstDataCol="1" rowPageCount="1" colPageCount="1"/>
  <pivotFields count="21"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  <pivotField dataField="1" numFmtId="10" showAll="0"/>
    <pivotField numFmtId="1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ABSENTEÍSMO" fld="11" baseField="1" baseItem="0"/>
    <dataField name="Soma de META 1,5%" fld="19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6">
  <location ref="A3:C16" firstHeaderRow="0" firstDataRow="1" firstDataCol="1" rowPageCount="1" colPageCount="1"/>
  <pivotFields count="21"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numFmtId="10" showAll="0"/>
    <pivotField numFmtId="10" showAll="0"/>
    <pivotField numFmtId="1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HORAS DE TREINAMENTO / HHT" fld="14" baseField="1" baseItem="2"/>
    <dataField name="Soma de META 1,2%" fld="18" baseField="0" baseItem="0"/>
  </dataFields>
  <chartFormats count="8">
    <chartFormat chart="1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9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3:C17" firstHeaderRow="0" firstDataRow="1" firstDataCol="1" rowPageCount="1" colPageCount="1"/>
  <pivotFields count="20">
    <pivotField axis="axisPage" showAll="0">
      <items count="5">
        <item m="1" x="2"/>
        <item m="1" x="3"/>
        <item x="1"/>
        <item x="0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0" showAll="0"/>
    <pivotField dataField="1" numFmtId="10" showAll="0"/>
    <pivotField numFmtId="10" showAll="0"/>
    <pivotField numFmtId="10" showAll="0"/>
    <pivotField numFmtId="10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HORAS DE TREINAMENTO / HHT" fld="14" baseField="1" baseItem="4"/>
    <dataField name="Soma de META 1,5%" fld="16" baseField="0" baseItem="0"/>
  </dataFields>
  <formats count="1">
    <format dxfId="15">
      <pivotArea collapsedLevelsAreSubtotals="1" fieldPosition="0">
        <references count="1">
          <reference field="1" count="0"/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7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" format="7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2" format="7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2" format="75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" format="76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2" format="77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8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3:C17" firstHeaderRow="0" firstDataRow="1" firstDataCol="1" rowPageCount="1" colPageCount="1"/>
  <pivotFields count="20">
    <pivotField axis="axisPage" showAll="0">
      <items count="5">
        <item m="1" x="2"/>
        <item m="1" x="3"/>
        <item x="1"/>
        <item x="0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numFmtId="10" showAll="0"/>
    <pivotField numFmtId="10" showAll="0"/>
    <pivotField numFmtId="10" showAll="0"/>
    <pivotField dataField="1" numFmtId="10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HORAS EXTRAS / HHT" fld="13" baseField="1" baseItem="7"/>
    <dataField name="Soma de META 6%" fld="19" baseField="0" baseItem="0"/>
  </dataFields>
  <formats count="1">
    <format dxfId="14">
      <pivotArea collapsedLevelsAreSubtotals="1" fieldPosition="0">
        <references count="1">
          <reference field="1" count="0"/>
        </references>
      </pivotArea>
    </format>
  </format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3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8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3" format="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3" format="90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3" format="9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3" format="92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3" format="93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3" format="94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3" format="95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3" format="96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3" format="97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3" format="98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3" format="99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100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10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ela dinâmica4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A3:C17" firstHeaderRow="0" firstDataRow="1" firstDataCol="1" rowPageCount="1" colPageCount="1"/>
  <pivotFields count="20">
    <pivotField axis="axisPage" showAll="0">
      <items count="5">
        <item m="1" x="2"/>
        <item m="1" x="3"/>
        <item x="1"/>
        <item x="0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numFmtId="10" showAll="0"/>
    <pivotField numFmtId="10" showAll="0"/>
    <pivotField dataField="1" numFmtId="10" showAll="0"/>
    <pivotField numFmtId="10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ABSENTEÍSMO" fld="11" baseField="1" baseItem="7"/>
    <dataField name="Soma de META 4,5%" fld="18" baseField="0" baseItem="0"/>
  </dataFields>
  <formats count="1">
    <format dxfId="13">
      <pivotArea grandRow="1" outline="0" collapsedLevelsAreSubtotals="1" fieldPosition="0"/>
    </format>
  </formats>
  <chartFormats count="17">
    <chartFormat chart="0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5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4" format="1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4" format="117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4" format="118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4" format="119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4" format="120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4" format="12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4" format="122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4" format="123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4" format="12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4" format="125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4" format="126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127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7">
  <location ref="A3:B16" firstHeaderRow="1" firstDataRow="1" firstDataCol="1" rowPageCount="1" colPageCount="1"/>
  <pivotFields count="21"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-1"/>
  </pageFields>
  <dataFields count="1">
    <dataField name="Soma de N° DE FUNCIONÁRIOS" fld="2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0">
  <location ref="A3:B16" firstHeaderRow="1" firstDataRow="1" firstDataCol="1" rowPageCount="1" colPageCount="1"/>
  <pivotFields count="21"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-1"/>
  </pageFields>
  <dataFields count="1">
    <dataField name="Soma de SALÁRIOS" fld="3" baseField="1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ela dinâmica5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3:C17" firstHeaderRow="0" firstDataRow="1" firstDataCol="1" rowPageCount="1" colPageCount="1"/>
  <pivotFields count="20">
    <pivotField axis="axisPage" showAll="0">
      <items count="5">
        <item m="1" x="2"/>
        <item m="1" x="3"/>
        <item x="1"/>
        <item x="0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dataField="1" numFmtId="10" showAll="0"/>
    <pivotField numFmtId="10" showAll="0"/>
    <pivotField numFmtId="10" showAll="0"/>
    <pivotField numFmtId="10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FALTAS INJUSTIFICADAS / HHT" fld="12" baseField="1" baseItem="1"/>
    <dataField name="Soma de META 1,5%" fld="16" baseField="0" baseItem="0"/>
  </dataFields>
  <formats count="1">
    <format dxfId="12">
      <pivotArea collapsedLevelsAreSubtotals="1" fieldPosition="0">
        <references count="1">
          <reference field="1" count="0"/>
        </references>
      </pivotArea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7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" format="7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2" format="7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2" format="75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" format="76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2" format="77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2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2">
  <location ref="A3:C16" firstHeaderRow="0" firstDataRow="1" firstDataCol="1" rowPageCount="1" colPageCount="1"/>
  <pivotFields count="21"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dataField="1" numFmtId="10" showAll="0"/>
    <pivotField numFmtId="1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FALTAS INJUSTIFICADAS / HHT" fld="12" baseField="1" baseItem="6"/>
    <dataField name="Soma de META 1,5%" fld="19" baseField="0" baseItem="0"/>
  </dataFields>
  <chartFormats count="8">
    <chartFormat chart="1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0">
  <location ref="A3:C16" firstHeaderRow="0" firstDataRow="1" firstDataCol="1" rowPageCount="1" colPageCount="1"/>
  <pivotFields count="21"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numFmtId="10" showAll="0"/>
    <pivotField dataField="1" numFmtId="1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HORAS EXTRAS / HHT" fld="13" baseField="2" baseItem="3"/>
    <dataField name="Soma de META 6%" fld="20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NO" sourceName="ANO">
  <pivotTables>
    <pivotTable tabId="4" name="Tabela dinâmica2"/>
    <pivotTable tabId="9" name="Tabela dinâmica2"/>
    <pivotTable tabId="5" name="Tabela dinâmica3"/>
    <pivotTable tabId="6" name="Tabela dinâmica4"/>
    <pivotTable tabId="7" name="Tabela dinâmica5"/>
    <pivotTable tabId="10" name="Tabela dinâmica3"/>
  </pivotTables>
  <data>
    <tabular pivotCacheId="1248438132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" sourceName="MÊS">
  <pivotTables>
    <pivotTable tabId="4" name="Tabela dinâmica2"/>
    <pivotTable tabId="9" name="Tabela dinâmica2"/>
    <pivotTable tabId="7" name="Tabela dinâmica5"/>
    <pivotTable tabId="10" name="Tabela dinâmica3"/>
    <pivotTable tabId="6" name="Tabela dinâmica4"/>
    <pivotTable tabId="5" name="Tabela dinâmica3"/>
  </pivotTables>
  <data>
    <tabular pivotCacheId="1248438132">
      <items count="1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NO" cache="SegmentaçãodeDados_ANO" caption="ANO" rowHeight="241300"/>
  <slicer name="MÊS" cache="SegmentaçãodeDados_MÊS" caption="MÊS" rowHeight="241300"/>
</slicers>
</file>

<file path=xl/tables/table1.xml><?xml version="1.0" encoding="utf-8"?>
<table xmlns="http://schemas.openxmlformats.org/spreadsheetml/2006/main" id="3" name="Tabela3" displayName="Tabela3" ref="A4:R29" totalsRowShown="0" headerRowDxfId="65" headerRowCellStyle="Normal" dataCellStyle="Normal">
  <autoFilter ref="A4:R29"/>
  <tableColumns count="18">
    <tableColumn id="1" name="ANO" dataDxfId="64" dataCellStyle="Normal"/>
    <tableColumn id="12" name="MÊS" dataDxfId="63" dataCellStyle="Normal"/>
    <tableColumn id="2" name="N° DE FUNCIONÁRIOS" dataDxfId="62" dataCellStyle="Normal"/>
    <tableColumn id="3" name="SALÁRIOS" dataDxfId="61" dataCellStyle="Normal"/>
    <tableColumn id="4" name="HHT" dataDxfId="60" dataCellStyle="Normal">
      <calculatedColumnFormula>220*Tabela3[[#This Row],[N° DE FUNCIONÁRIOS]]+Tabela3[[#This Row],[QUANT. DE HORAS EXTRAS]]</calculatedColumnFormula>
    </tableColumn>
    <tableColumn id="5" name="FALTAS JUSTIFICADAS (horas)" dataDxfId="59" dataCellStyle="Normal"/>
    <tableColumn id="6" name="FALTAS INJUSTIFICDAS (horas)" dataDxfId="58" dataCellStyle="Normal"/>
    <tableColumn id="7" name="QUANT. DE HORAS EXTRAS" dataDxfId="57" dataCellStyle="Normal"/>
    <tableColumn id="8" name="VALOR DAS HORAS EXTRAS" dataDxfId="56" dataCellStyle="Normal"/>
    <tableColumn id="9" name="NUMERO DE TREINAMENTOS" dataDxfId="55"/>
    <tableColumn id="10" name="HORAS DE TREINAMENTOS" dataDxfId="54"/>
    <tableColumn id="11" name="ABSENTEÍSMO" dataDxfId="53" dataCellStyle="Porcentagem">
      <calculatedColumnFormula>Tabela3[[#This Row],[FALTAS JUSTIFICADAS (horas)]]/Tabela3[[#This Row],[HHT]]</calculatedColumnFormula>
    </tableColumn>
    <tableColumn id="26" name="FALTAS INJUSTIFICADAS / HHT" dataDxfId="52" dataCellStyle="Porcentagem">
      <calculatedColumnFormula>Tabela3[[#This Row],[FALTAS INJUSTIFICDAS (horas)]]/Tabela3[[#This Row],[HHT]]</calculatedColumnFormula>
    </tableColumn>
    <tableColumn id="27" name="HORAS EXTRAS / HHT" dataDxfId="51" dataCellStyle="Porcentagem">
      <calculatedColumnFormula>Tabela3[[#This Row],[QUANT. DE HORAS EXTRAS]]/Tabela3[[#This Row],[HHT]]</calculatedColumnFormula>
    </tableColumn>
    <tableColumn id="13" name="HORAS DE TREINAMENTO / HHT" dataDxfId="50" dataCellStyle="Porcentagem">
      <calculatedColumnFormula>Tabela3[[#This Row],[HORAS DE TREINAMENTOS]]/Tabela3[[#This Row],[HHT]]</calculatedColumnFormula>
    </tableColumn>
    <tableColumn id="14" name="META 1,2%" dataDxfId="49" dataCellStyle="Porcentagem"/>
    <tableColumn id="15" name="META 1,5%" dataDxfId="48" dataCellStyle="Porcentagem"/>
    <tableColumn id="16" name="META 6%" dataDxfId="47" dataCellStyle="Porcentagem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4" name="Tabela35" displayName="Tabela35" ref="A1:T14" totalsRowShown="0" headerRowDxfId="40" dataDxfId="38" headerRowBorderDxfId="39" tableBorderDxfId="37" totalsRowBorderDxfId="36" headerRowCellStyle="Normal" dataCellStyle="Normal">
  <autoFilter ref="A1:T14"/>
  <tableColumns count="20">
    <tableColumn id="1" name="ANO" dataDxfId="35" dataCellStyle="Normal"/>
    <tableColumn id="12" name="MÊS" dataDxfId="34" dataCellStyle="Normal"/>
    <tableColumn id="2" name="N° DE FUNCIONÁRIOS" dataDxfId="33" dataCellStyle="Normal"/>
    <tableColumn id="3" name="SALÁRIOS" dataDxfId="32" dataCellStyle="Moeda"/>
    <tableColumn id="4" name="HHT" dataDxfId="31" dataCellStyle="Normal">
      <calculatedColumnFormula>(220*Tabela35[[#This Row],[N° DE FUNCIONÁRIOS]]+Tabela35[[#This Row],[QUANT. DE HORAS EXTRAS]])/8</calculatedColumnFormula>
    </tableColumn>
    <tableColumn id="5" name="FALTAS JUSTIFICADAS (horas)" dataDxfId="30" dataCellStyle="Normal"/>
    <tableColumn id="6" name="FALTAS INJUSTIFICDAS (horas)" dataDxfId="29" dataCellStyle="Normal"/>
    <tableColumn id="7" name="QUANT. DE HORAS EXTRAS" dataDxfId="28" dataCellStyle="Normal"/>
    <tableColumn id="8" name="VALOR DAS HORAS EXTRAS" dataDxfId="27" dataCellStyle="Normal"/>
    <tableColumn id="9" name="NUMERO DE TREINAMENTOS" dataDxfId="26"/>
    <tableColumn id="10" name="HORAS DE TREINAMENTOS" dataDxfId="25"/>
    <tableColumn id="11" name="ABSENTEÍSMO" dataDxfId="24" dataCellStyle="Porcentagem">
      <calculatedColumnFormula>Tabela35[[#This Row],[FALTAS JUSTIFICADAS (horas)]]/Tabela35[[#This Row],[HHT]]</calculatedColumnFormula>
    </tableColumn>
    <tableColumn id="26" name="FALTAS INJUSTIFICADAS / HHT" dataDxfId="23" dataCellStyle="Porcentagem">
      <calculatedColumnFormula>Tabela35[[#This Row],[FALTAS INJUSTIFICDAS (horas)]]/Tabela35[[#This Row],[HHT]]</calculatedColumnFormula>
    </tableColumn>
    <tableColumn id="27" name="HORAS EXTRAS / HHT" dataDxfId="22" dataCellStyle="Porcentagem">
      <calculatedColumnFormula>Tabela35[[#This Row],[QUANT. DE HORAS EXTRAS]]/Tabela35[[#This Row],[HHT]]</calculatedColumnFormula>
    </tableColumn>
    <tableColumn id="13" name="HORAS DE TREINAMENTO / HHT" dataDxfId="21" dataCellStyle="Porcentagem">
      <calculatedColumnFormula>Tabela35[[#This Row],[HORAS DE TREINAMENTOS]]/Tabela35[[#This Row],[HHT]]</calculatedColumnFormula>
    </tableColumn>
    <tableColumn id="14" name="META 1,2%" dataDxfId="20" dataCellStyle="Porcentagem"/>
    <tableColumn id="15" name="META 1,5%" dataDxfId="19" dataCellStyle="Porcentagem"/>
    <tableColumn id="18" name="META 3%" dataDxfId="18" dataCellStyle="Porcentagem"/>
    <tableColumn id="17" name="META 4,5%" dataDxfId="17" dataCellStyle="Porcentagem"/>
    <tableColumn id="16" name="META 6%" dataDxfId="16" dataCellStyle="Porcentagem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8" sqref="B8"/>
    </sheetView>
  </sheetViews>
  <sheetFormatPr defaultRowHeight="15" x14ac:dyDescent="0.25"/>
  <cols>
    <col min="1" max="1" width="18" bestFit="1" customWidth="1"/>
    <col min="2" max="2" width="22.140625" bestFit="1" customWidth="1"/>
    <col min="3" max="3" width="19" bestFit="1" customWidth="1"/>
  </cols>
  <sheetData>
    <row r="1" spans="1:3" x14ac:dyDescent="0.25">
      <c r="A1" s="12" t="s">
        <v>0</v>
      </c>
      <c r="B1" s="13">
        <v>2022</v>
      </c>
    </row>
    <row r="3" spans="1:3" x14ac:dyDescent="0.25">
      <c r="A3" s="12" t="s">
        <v>1</v>
      </c>
      <c r="B3" t="s">
        <v>2</v>
      </c>
      <c r="C3" t="s">
        <v>3</v>
      </c>
    </row>
    <row r="4" spans="1:3" x14ac:dyDescent="0.25">
      <c r="A4" s="13" t="s">
        <v>4</v>
      </c>
      <c r="B4">
        <v>0.13829778475228516</v>
      </c>
      <c r="C4">
        <v>1.4999999999999999E-2</v>
      </c>
    </row>
    <row r="5" spans="1:3" x14ac:dyDescent="0.25">
      <c r="A5" s="13" t="s">
        <v>5</v>
      </c>
      <c r="B5">
        <v>8.8099816645051648E-2</v>
      </c>
      <c r="C5">
        <v>1.4999999999999999E-2</v>
      </c>
    </row>
    <row r="6" spans="1:3" x14ac:dyDescent="0.25">
      <c r="A6" s="13" t="s">
        <v>6</v>
      </c>
      <c r="B6">
        <v>1.9430437319352924E-2</v>
      </c>
      <c r="C6">
        <v>1.4999999999999999E-2</v>
      </c>
    </row>
    <row r="7" spans="1:3" x14ac:dyDescent="0.25">
      <c r="A7" s="13" t="s">
        <v>7</v>
      </c>
      <c r="B7">
        <v>1.0167016378826657E-2</v>
      </c>
      <c r="C7">
        <v>1.4999999999999999E-2</v>
      </c>
    </row>
    <row r="8" spans="1:3" x14ac:dyDescent="0.25">
      <c r="A8" s="13" t="s">
        <v>8</v>
      </c>
      <c r="B8">
        <v>2.254874149149632E-2</v>
      </c>
      <c r="C8">
        <v>1.4999999999999999E-2</v>
      </c>
    </row>
    <row r="9" spans="1:3" x14ac:dyDescent="0.25">
      <c r="A9" s="13" t="s">
        <v>9</v>
      </c>
      <c r="B9">
        <v>1.7388568232093365E-2</v>
      </c>
      <c r="C9">
        <v>1.4999999999999999E-2</v>
      </c>
    </row>
    <row r="10" spans="1:3" x14ac:dyDescent="0.25">
      <c r="A10" s="13" t="s">
        <v>10</v>
      </c>
      <c r="B10">
        <v>6.0551198004088938E-2</v>
      </c>
      <c r="C10">
        <v>1.4999999999999999E-2</v>
      </c>
    </row>
    <row r="11" spans="1:3" x14ac:dyDescent="0.25">
      <c r="A11" s="13" t="s">
        <v>11</v>
      </c>
      <c r="B11" t="e">
        <v>#DIV/0!</v>
      </c>
      <c r="C11">
        <v>1.4999999999999999E-2</v>
      </c>
    </row>
    <row r="12" spans="1:3" x14ac:dyDescent="0.25">
      <c r="A12" s="13" t="s">
        <v>12</v>
      </c>
      <c r="B12" t="e">
        <v>#DIV/0!</v>
      </c>
      <c r="C12">
        <v>1.4999999999999999E-2</v>
      </c>
    </row>
    <row r="13" spans="1:3" x14ac:dyDescent="0.25">
      <c r="A13" s="13" t="s">
        <v>13</v>
      </c>
      <c r="B13" t="e">
        <v>#DIV/0!</v>
      </c>
      <c r="C13">
        <v>1.4999999999999999E-2</v>
      </c>
    </row>
    <row r="14" spans="1:3" x14ac:dyDescent="0.25">
      <c r="A14" s="13" t="s">
        <v>14</v>
      </c>
      <c r="B14" t="e">
        <v>#DIV/0!</v>
      </c>
      <c r="C14">
        <v>1.4999999999999999E-2</v>
      </c>
    </row>
    <row r="15" spans="1:3" x14ac:dyDescent="0.25">
      <c r="A15" s="13" t="s">
        <v>15</v>
      </c>
      <c r="B15" t="e">
        <v>#DIV/0!</v>
      </c>
      <c r="C15">
        <v>1.4999999999999999E-2</v>
      </c>
    </row>
    <row r="16" spans="1:3" x14ac:dyDescent="0.25">
      <c r="A16" s="13" t="s">
        <v>16</v>
      </c>
      <c r="B16" t="e">
        <v>#DIV/0!</v>
      </c>
      <c r="C16">
        <v>0.18000000000000005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8" sqref="B8"/>
    </sheetView>
  </sheetViews>
  <sheetFormatPr defaultRowHeight="15" x14ac:dyDescent="0.25"/>
  <cols>
    <col min="1" max="1" width="18" bestFit="1" customWidth="1"/>
    <col min="2" max="2" width="37.5703125" bestFit="1" customWidth="1"/>
    <col min="3" max="3" width="19" bestFit="1" customWidth="1"/>
  </cols>
  <sheetData>
    <row r="1" spans="1:3" x14ac:dyDescent="0.25">
      <c r="A1" s="12" t="s">
        <v>0</v>
      </c>
      <c r="B1" s="13">
        <v>2022</v>
      </c>
    </row>
    <row r="3" spans="1:3" x14ac:dyDescent="0.25">
      <c r="A3" s="12" t="s">
        <v>1</v>
      </c>
      <c r="B3" t="s">
        <v>17</v>
      </c>
      <c r="C3" t="s">
        <v>18</v>
      </c>
    </row>
    <row r="4" spans="1:3" x14ac:dyDescent="0.25">
      <c r="A4" s="13" t="s">
        <v>4</v>
      </c>
      <c r="B4">
        <v>2.0747878694069237E-2</v>
      </c>
      <c r="C4">
        <v>1.2E-2</v>
      </c>
    </row>
    <row r="5" spans="1:3" x14ac:dyDescent="0.25">
      <c r="A5" s="13" t="s">
        <v>5</v>
      </c>
      <c r="B5">
        <v>2.1287062295961719E-2</v>
      </c>
      <c r="C5">
        <v>1.2E-2</v>
      </c>
    </row>
    <row r="6" spans="1:3" x14ac:dyDescent="0.25">
      <c r="A6" s="13" t="s">
        <v>6</v>
      </c>
      <c r="B6">
        <v>1.4964597797009436E-2</v>
      </c>
      <c r="C6">
        <v>1.2E-2</v>
      </c>
    </row>
    <row r="7" spans="1:3" x14ac:dyDescent="0.25">
      <c r="A7" s="13" t="s">
        <v>7</v>
      </c>
      <c r="B7">
        <v>1.4142206030421114E-2</v>
      </c>
      <c r="C7">
        <v>1.2E-2</v>
      </c>
    </row>
    <row r="8" spans="1:3" x14ac:dyDescent="0.25">
      <c r="A8" s="13" t="s">
        <v>8</v>
      </c>
      <c r="B8">
        <v>1.9902064022266547E-2</v>
      </c>
      <c r="C8">
        <v>1.2E-2</v>
      </c>
    </row>
    <row r="9" spans="1:3" x14ac:dyDescent="0.25">
      <c r="A9" s="13" t="s">
        <v>9</v>
      </c>
      <c r="B9">
        <v>1.9546644969361031E-2</v>
      </c>
      <c r="C9">
        <v>1.2E-2</v>
      </c>
    </row>
    <row r="10" spans="1:3" x14ac:dyDescent="0.25">
      <c r="A10" s="13" t="s">
        <v>10</v>
      </c>
      <c r="B10">
        <v>1.6186866820793792E-2</v>
      </c>
      <c r="C10">
        <v>1.2E-2</v>
      </c>
    </row>
    <row r="11" spans="1:3" x14ac:dyDescent="0.25">
      <c r="A11" s="13" t="s">
        <v>11</v>
      </c>
      <c r="B11" t="e">
        <v>#DIV/0!</v>
      </c>
      <c r="C11">
        <v>1.2E-2</v>
      </c>
    </row>
    <row r="12" spans="1:3" x14ac:dyDescent="0.25">
      <c r="A12" s="13" t="s">
        <v>12</v>
      </c>
      <c r="B12" t="e">
        <v>#DIV/0!</v>
      </c>
      <c r="C12">
        <v>1.2E-2</v>
      </c>
    </row>
    <row r="13" spans="1:3" x14ac:dyDescent="0.25">
      <c r="A13" s="13" t="s">
        <v>13</v>
      </c>
      <c r="B13" t="e">
        <v>#DIV/0!</v>
      </c>
      <c r="C13">
        <v>1.2E-2</v>
      </c>
    </row>
    <row r="14" spans="1:3" x14ac:dyDescent="0.25">
      <c r="A14" s="13" t="s">
        <v>14</v>
      </c>
      <c r="B14" t="e">
        <v>#DIV/0!</v>
      </c>
      <c r="C14">
        <v>1.2E-2</v>
      </c>
    </row>
    <row r="15" spans="1:3" x14ac:dyDescent="0.25">
      <c r="A15" s="13" t="s">
        <v>15</v>
      </c>
      <c r="B15" t="e">
        <v>#DIV/0!</v>
      </c>
      <c r="C15">
        <v>1.2E-2</v>
      </c>
    </row>
    <row r="16" spans="1:3" x14ac:dyDescent="0.25">
      <c r="A16" s="13" t="s">
        <v>16</v>
      </c>
      <c r="B16" t="e">
        <v>#DIV/0!</v>
      </c>
      <c r="C16">
        <v>0.14399999999999999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J213"/>
  <sheetViews>
    <sheetView topLeftCell="E1" zoomScale="80" zoomScaleNormal="80" workbookViewId="0">
      <selection activeCell="K29" sqref="K29"/>
    </sheetView>
  </sheetViews>
  <sheetFormatPr defaultRowHeight="15" x14ac:dyDescent="0.25"/>
  <cols>
    <col min="1" max="2" width="10" style="5" customWidth="1"/>
    <col min="3" max="3" width="19.140625" customWidth="1"/>
    <col min="4" max="8" width="17.28515625" customWidth="1"/>
    <col min="9" max="11" width="17.28515625" style="2" customWidth="1"/>
    <col min="12" max="15" width="17.28515625" customWidth="1"/>
  </cols>
  <sheetData>
    <row r="1" spans="1:218" ht="29.25" customHeight="1" x14ac:dyDescent="0.25">
      <c r="A1" s="98" t="s">
        <v>28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HA1" s="7"/>
      <c r="HB1" s="7"/>
      <c r="HC1" s="7"/>
      <c r="HD1" s="7"/>
      <c r="HE1" s="7"/>
      <c r="HF1" s="7"/>
      <c r="HG1" s="7"/>
      <c r="HH1" s="7"/>
      <c r="HI1" s="7"/>
    </row>
    <row r="2" spans="1:218" ht="40.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HA2" s="7"/>
      <c r="HB2" s="7"/>
      <c r="HC2" s="7"/>
      <c r="HD2" s="7"/>
      <c r="HE2" s="7"/>
      <c r="HF2" s="7"/>
      <c r="HG2" s="7"/>
      <c r="HH2" s="7"/>
      <c r="HI2" s="7"/>
    </row>
    <row r="3" spans="1:218" ht="7.5" hidden="1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HA3" s="7"/>
      <c r="HB3" s="7"/>
      <c r="HC3" s="7"/>
      <c r="HD3" s="7"/>
      <c r="HE3" s="7"/>
      <c r="HF3" s="7"/>
      <c r="HG3" s="7"/>
      <c r="HH3" s="7"/>
      <c r="HI3" s="7"/>
    </row>
    <row r="4" spans="1:218" s="6" customFormat="1" ht="60" customHeight="1" thickBot="1" x14ac:dyDescent="0.3">
      <c r="A4" s="24" t="s">
        <v>0</v>
      </c>
      <c r="B4" s="24" t="s">
        <v>29</v>
      </c>
      <c r="C4" s="24" t="s">
        <v>30</v>
      </c>
      <c r="D4" s="24" t="s">
        <v>31</v>
      </c>
      <c r="E4" s="24" t="s">
        <v>32</v>
      </c>
      <c r="F4" s="24" t="s">
        <v>33</v>
      </c>
      <c r="G4" s="24" t="s">
        <v>34</v>
      </c>
      <c r="H4" s="24" t="s">
        <v>35</v>
      </c>
      <c r="I4" s="24" t="s">
        <v>36</v>
      </c>
      <c r="J4" s="24" t="s">
        <v>37</v>
      </c>
      <c r="K4" s="24" t="s">
        <v>38</v>
      </c>
      <c r="L4" s="24" t="s">
        <v>39</v>
      </c>
      <c r="M4" s="24" t="s">
        <v>40</v>
      </c>
      <c r="N4" s="24" t="s">
        <v>41</v>
      </c>
      <c r="O4" s="24" t="s">
        <v>42</v>
      </c>
      <c r="P4" s="24" t="s">
        <v>43</v>
      </c>
      <c r="Q4" s="24" t="s">
        <v>44</v>
      </c>
      <c r="R4" s="24" t="s">
        <v>45</v>
      </c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 s="7"/>
      <c r="HB4" s="7"/>
      <c r="HC4" s="7"/>
      <c r="HD4" s="7"/>
      <c r="HE4" s="7"/>
      <c r="HF4" s="7"/>
      <c r="HG4" s="7"/>
      <c r="HH4" s="7"/>
      <c r="HI4" s="7"/>
    </row>
    <row r="5" spans="1:218" s="3" customFormat="1" ht="20.25" hidden="1" customHeight="1" thickBot="1" x14ac:dyDescent="0.3">
      <c r="A5" s="15">
        <v>2021</v>
      </c>
      <c r="B5" s="8" t="s">
        <v>4</v>
      </c>
      <c r="C5" s="8">
        <v>18</v>
      </c>
      <c r="D5" s="8">
        <f>41099.34-6100</f>
        <v>34999.339999999997</v>
      </c>
      <c r="E5" s="8">
        <f>220*Tabela3[[#This Row],[N° DE FUNCIONÁRIOS]]+Tabela3[[#This Row],[QUANT. DE HORAS EXTRAS]]</f>
        <v>4357.43</v>
      </c>
      <c r="F5" s="8">
        <v>73.3</v>
      </c>
      <c r="G5" s="8">
        <v>64.2</v>
      </c>
      <c r="H5" s="8">
        <v>397.43</v>
      </c>
      <c r="I5" s="8">
        <v>6341.75</v>
      </c>
      <c r="J5" s="8">
        <v>4</v>
      </c>
      <c r="K5" s="8" t="e">
        <f>#REF!</f>
        <v>#REF!</v>
      </c>
      <c r="L5" s="9">
        <f>Tabela3[[#This Row],[FALTAS JUSTIFICADAS (horas)]]/Tabela3[[#This Row],[HHT]]</f>
        <v>1.6821842232692206E-2</v>
      </c>
      <c r="M5" s="9">
        <f>Tabela3[[#This Row],[FALTAS INJUSTIFICDAS (horas)]]/Tabela3[[#This Row],[HHT]]</f>
        <v>1.4733455270652654E-2</v>
      </c>
      <c r="N5" s="9">
        <f>Tabela3[[#This Row],[QUANT. DE HORAS EXTRAS]]/Tabela3[[#This Row],[HHT]]</f>
        <v>9.1207431903667979E-2</v>
      </c>
      <c r="O5" s="9" t="e">
        <f>Tabela3[[#This Row],[HORAS DE TREINAMENTOS]]/Tabela3[[#This Row],[HHT]]</f>
        <v>#REF!</v>
      </c>
      <c r="P5" s="17">
        <v>1.2E-2</v>
      </c>
      <c r="Q5" s="17">
        <v>1.4999999999999999E-2</v>
      </c>
      <c r="R5" s="18">
        <v>0.06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 s="7"/>
      <c r="HB5" s="7"/>
      <c r="HC5" s="7"/>
      <c r="HD5" s="7"/>
      <c r="HE5" s="7"/>
      <c r="HF5" s="7"/>
      <c r="HG5" s="7"/>
      <c r="HH5" s="7"/>
      <c r="HI5" s="7"/>
      <c r="HJ5" s="1"/>
    </row>
    <row r="6" spans="1:218" s="4" customFormat="1" ht="20.25" hidden="1" customHeight="1" thickBot="1" x14ac:dyDescent="0.3">
      <c r="A6" s="16">
        <v>2021</v>
      </c>
      <c r="B6" s="10" t="s">
        <v>5</v>
      </c>
      <c r="C6" s="10">
        <v>19</v>
      </c>
      <c r="D6" s="10">
        <f>42419.43-6100</f>
        <v>36319.43</v>
      </c>
      <c r="E6" s="10">
        <f>220*Tabela3[[#This Row],[N° DE FUNCIONÁRIOS]]+Tabela3[[#This Row],[QUANT. DE HORAS EXTRAS]]</f>
        <v>4525.3599999999997</v>
      </c>
      <c r="F6" s="10">
        <v>253.06</v>
      </c>
      <c r="G6" s="10">
        <v>82.28</v>
      </c>
      <c r="H6" s="10">
        <v>345.36</v>
      </c>
      <c r="I6" s="10">
        <v>5344.13</v>
      </c>
      <c r="J6" s="10">
        <v>4</v>
      </c>
      <c r="K6" s="10" t="e">
        <f>#REF!</f>
        <v>#REF!</v>
      </c>
      <c r="L6" s="11">
        <f>Tabela3[[#This Row],[FALTAS JUSTIFICADAS (horas)]]/Tabela3[[#This Row],[HHT]]</f>
        <v>5.5920412961620737E-2</v>
      </c>
      <c r="M6" s="11">
        <f>Tabela3[[#This Row],[FALTAS INJUSTIFICDAS (horas)]]/Tabela3[[#This Row],[HHT]]</f>
        <v>1.8181978892287023E-2</v>
      </c>
      <c r="N6" s="11">
        <f>Tabela3[[#This Row],[QUANT. DE HORAS EXTRAS]]/Tabela3[[#This Row],[HHT]]</f>
        <v>7.6316580338359835E-2</v>
      </c>
      <c r="O6" s="11" t="e">
        <f>Tabela3[[#This Row],[HORAS DE TREINAMENTOS]]/Tabela3[[#This Row],[HHT]]</f>
        <v>#REF!</v>
      </c>
      <c r="P6" s="19">
        <v>1.2E-2</v>
      </c>
      <c r="Q6" s="19">
        <v>1.4999999999999999E-2</v>
      </c>
      <c r="R6" s="20">
        <v>0.06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 s="7"/>
      <c r="HB6" s="7"/>
      <c r="HC6" s="7"/>
      <c r="HD6" s="7"/>
      <c r="HE6" s="7"/>
      <c r="HF6" s="7"/>
      <c r="HG6" s="7"/>
      <c r="HH6" s="7"/>
      <c r="HI6" s="7"/>
      <c r="HJ6" s="1"/>
    </row>
    <row r="7" spans="1:218" s="3" customFormat="1" ht="20.25" hidden="1" customHeight="1" thickBot="1" x14ac:dyDescent="0.3">
      <c r="A7" s="16">
        <v>2021</v>
      </c>
      <c r="B7" s="10" t="s">
        <v>6</v>
      </c>
      <c r="C7" s="10">
        <v>20</v>
      </c>
      <c r="D7" s="10">
        <v>39162.58</v>
      </c>
      <c r="E7" s="10">
        <f>220*Tabela3[[#This Row],[N° DE FUNCIONÁRIOS]]+Tabela3[[#This Row],[QUANT. DE HORAS EXTRAS]]</f>
        <v>4478.7</v>
      </c>
      <c r="F7" s="10">
        <v>502.92</v>
      </c>
      <c r="G7" s="10">
        <v>90.13</v>
      </c>
      <c r="H7" s="10">
        <v>78.7</v>
      </c>
      <c r="I7" s="10">
        <v>1454.2</v>
      </c>
      <c r="J7" s="10">
        <v>4</v>
      </c>
      <c r="K7" s="10" t="e">
        <f>#REF!</f>
        <v>#REF!</v>
      </c>
      <c r="L7" s="11">
        <f>Tabela3[[#This Row],[FALTAS JUSTIFICADAS (horas)]]/Tabela3[[#This Row],[HHT]]</f>
        <v>0.11229151316230157</v>
      </c>
      <c r="M7" s="11">
        <f>Tabela3[[#This Row],[FALTAS INJUSTIFICDAS (horas)]]/Tabela3[[#This Row],[HHT]]</f>
        <v>2.0124143166543863E-2</v>
      </c>
      <c r="N7" s="11">
        <f>Tabela3[[#This Row],[QUANT. DE HORAS EXTRAS]]/Tabela3[[#This Row],[HHT]]</f>
        <v>1.7572063321946101E-2</v>
      </c>
      <c r="O7" s="11" t="e">
        <f>Tabela3[[#This Row],[HORAS DE TREINAMENTOS]]/Tabela3[[#This Row],[HHT]]</f>
        <v>#REF!</v>
      </c>
      <c r="P7" s="19">
        <v>1.2E-2</v>
      </c>
      <c r="Q7" s="19">
        <v>1.4999999999999999E-2</v>
      </c>
      <c r="R7" s="20">
        <v>0.06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 s="7"/>
      <c r="HB7" s="7"/>
      <c r="HC7" s="7"/>
      <c r="HD7" s="7"/>
      <c r="HE7" s="7"/>
      <c r="HF7" s="7"/>
      <c r="HG7" s="7"/>
      <c r="HH7" s="7"/>
      <c r="HI7" s="7"/>
      <c r="HJ7" s="1"/>
    </row>
    <row r="8" spans="1:218" s="4" customFormat="1" ht="20.25" hidden="1" customHeight="1" thickBot="1" x14ac:dyDescent="0.3">
      <c r="A8" s="16">
        <v>2021</v>
      </c>
      <c r="B8" s="10" t="s">
        <v>7</v>
      </c>
      <c r="C8" s="10">
        <v>20</v>
      </c>
      <c r="D8" s="10">
        <v>41451.74</v>
      </c>
      <c r="E8" s="10">
        <f>220*Tabela3[[#This Row],[N° DE FUNCIONÁRIOS]]+Tabela3[[#This Row],[QUANT. DE HORAS EXTRAS]]</f>
        <v>4605.1000000000004</v>
      </c>
      <c r="F8" s="10">
        <v>264.66000000000003</v>
      </c>
      <c r="G8" s="10">
        <v>77.13</v>
      </c>
      <c r="H8" s="10">
        <v>205.1</v>
      </c>
      <c r="I8" s="10">
        <v>3749.63</v>
      </c>
      <c r="J8" s="10">
        <v>4</v>
      </c>
      <c r="K8" s="10" t="e">
        <f>#REF!</f>
        <v>#REF!</v>
      </c>
      <c r="L8" s="11">
        <f>Tabela3[[#This Row],[FALTAS JUSTIFICADAS (horas)]]/Tabela3[[#This Row],[HHT]]</f>
        <v>5.747106468914899E-2</v>
      </c>
      <c r="M8" s="11">
        <f>Tabela3[[#This Row],[FALTAS INJUSTIFICDAS (horas)]]/Tabela3[[#This Row],[HHT]]</f>
        <v>1.6748821958263663E-2</v>
      </c>
      <c r="N8" s="11">
        <f>Tabela3[[#This Row],[QUANT. DE HORAS EXTRAS]]/Tabela3[[#This Row],[HHT]]</f>
        <v>4.453757790275998E-2</v>
      </c>
      <c r="O8" s="11" t="e">
        <f>Tabela3[[#This Row],[HORAS DE TREINAMENTOS]]/Tabela3[[#This Row],[HHT]]</f>
        <v>#REF!</v>
      </c>
      <c r="P8" s="19">
        <v>1.2E-2</v>
      </c>
      <c r="Q8" s="19">
        <v>1.4999999999999999E-2</v>
      </c>
      <c r="R8" s="20">
        <v>0.06</v>
      </c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 s="7"/>
      <c r="HB8" s="7"/>
      <c r="HC8" s="7"/>
      <c r="HD8" s="7"/>
      <c r="HE8" s="7"/>
      <c r="HF8" s="7"/>
      <c r="HG8" s="7"/>
      <c r="HH8" s="7"/>
      <c r="HI8" s="7"/>
      <c r="HJ8" s="1"/>
    </row>
    <row r="9" spans="1:218" s="3" customFormat="1" ht="20.25" hidden="1" customHeight="1" thickBot="1" x14ac:dyDescent="0.3">
      <c r="A9" s="16">
        <v>2021</v>
      </c>
      <c r="B9" s="10" t="s">
        <v>8</v>
      </c>
      <c r="C9" s="10">
        <v>20</v>
      </c>
      <c r="D9" s="10">
        <v>44752.71</v>
      </c>
      <c r="E9" s="10">
        <f>220*Tabela3[[#This Row],[N° DE FUNCIONÁRIOS]]+Tabela3[[#This Row],[QUANT. DE HORAS EXTRAS]]</f>
        <v>4634.9399999999996</v>
      </c>
      <c r="F9" s="10">
        <v>186</v>
      </c>
      <c r="G9" s="10">
        <v>163.44999999999999</v>
      </c>
      <c r="H9" s="10">
        <v>234.94</v>
      </c>
      <c r="I9" s="10">
        <v>3804.42</v>
      </c>
      <c r="J9" s="10">
        <v>4</v>
      </c>
      <c r="K9" s="10" t="e">
        <f>#REF!</f>
        <v>#REF!</v>
      </c>
      <c r="L9" s="11">
        <f>Tabela3[[#This Row],[FALTAS JUSTIFICADAS (horas)]]/Tabela3[[#This Row],[HHT]]</f>
        <v>4.0129969319991202E-2</v>
      </c>
      <c r="M9" s="11">
        <f>Tabela3[[#This Row],[FALTAS INJUSTIFICDAS (horas)]]/Tabela3[[#This Row],[HHT]]</f>
        <v>3.5264749921250331E-2</v>
      </c>
      <c r="N9" s="11">
        <f>Tabela3[[#This Row],[QUANT. DE HORAS EXTRAS]]/Tabela3[[#This Row],[HHT]]</f>
        <v>5.0688897806659854E-2</v>
      </c>
      <c r="O9" s="11" t="e">
        <f>Tabela3[[#This Row],[HORAS DE TREINAMENTOS]]/Tabela3[[#This Row],[HHT]]</f>
        <v>#REF!</v>
      </c>
      <c r="P9" s="19">
        <v>1.2E-2</v>
      </c>
      <c r="Q9" s="19">
        <v>1.4999999999999999E-2</v>
      </c>
      <c r="R9" s="20">
        <v>0.06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 s="7"/>
      <c r="HB9" s="7"/>
      <c r="HC9" s="7"/>
      <c r="HD9" s="7"/>
      <c r="HE9" s="7"/>
      <c r="HF9" s="7"/>
      <c r="HG9" s="7"/>
      <c r="HH9" s="7"/>
      <c r="HI9" s="7"/>
      <c r="HJ9" s="1"/>
    </row>
    <row r="10" spans="1:218" s="4" customFormat="1" ht="20.25" hidden="1" customHeight="1" thickBot="1" x14ac:dyDescent="0.3">
      <c r="A10" s="16">
        <v>2021</v>
      </c>
      <c r="B10" s="10" t="s">
        <v>9</v>
      </c>
      <c r="C10" s="10">
        <v>21</v>
      </c>
      <c r="D10" s="10">
        <v>44263.4</v>
      </c>
      <c r="E10" s="10">
        <f>220*Tabela3[[#This Row],[N° DE FUNCIONÁRIOS]]+Tabela3[[#This Row],[QUANT. DE HORAS EXTRAS]]</f>
        <v>4975.22</v>
      </c>
      <c r="F10" s="10">
        <v>146.13</v>
      </c>
      <c r="G10" s="10">
        <v>97.22</v>
      </c>
      <c r="H10" s="10">
        <v>355.22</v>
      </c>
      <c r="I10" s="10">
        <v>5804.42</v>
      </c>
      <c r="J10" s="10">
        <v>4</v>
      </c>
      <c r="K10" s="10" t="e">
        <f>#REF!</f>
        <v>#REF!</v>
      </c>
      <c r="L10" s="11">
        <f>Tabela3[[#This Row],[FALTAS JUSTIFICADAS (horas)]]/Tabela3[[#This Row],[HHT]]</f>
        <v>2.93715654785115E-2</v>
      </c>
      <c r="M10" s="11">
        <f>Tabela3[[#This Row],[FALTAS INJUSTIFICDAS (horas)]]/Tabela3[[#This Row],[HHT]]</f>
        <v>1.9540844424970151E-2</v>
      </c>
      <c r="N10" s="11">
        <f>Tabela3[[#This Row],[QUANT. DE HORAS EXTRAS]]/Tabela3[[#This Row],[HHT]]</f>
        <v>7.1397847733366562E-2</v>
      </c>
      <c r="O10" s="11" t="e">
        <f>Tabela3[[#This Row],[HORAS DE TREINAMENTOS]]/Tabela3[[#This Row],[HHT]]</f>
        <v>#REF!</v>
      </c>
      <c r="P10" s="19">
        <v>1.2E-2</v>
      </c>
      <c r="Q10" s="19">
        <v>1.4999999999999999E-2</v>
      </c>
      <c r="R10" s="20">
        <v>0.06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 s="7"/>
      <c r="HB10" s="7"/>
      <c r="HC10" s="7"/>
      <c r="HD10" s="7"/>
      <c r="HE10" s="7"/>
      <c r="HF10" s="7"/>
      <c r="HG10" s="7"/>
      <c r="HH10" s="7"/>
      <c r="HI10" s="7"/>
      <c r="HJ10" s="1"/>
    </row>
    <row r="11" spans="1:218" s="3" customFormat="1" ht="20.25" hidden="1" customHeight="1" thickBot="1" x14ac:dyDescent="0.3">
      <c r="A11" s="16">
        <v>2021</v>
      </c>
      <c r="B11" s="10" t="s">
        <v>10</v>
      </c>
      <c r="C11" s="10">
        <v>21</v>
      </c>
      <c r="D11" s="10">
        <v>41501.160000000003</v>
      </c>
      <c r="E11" s="10">
        <f>220*Tabela3[[#This Row],[N° DE FUNCIONÁRIOS]]+Tabela3[[#This Row],[QUANT. DE HORAS EXTRAS]]</f>
        <v>4766.42</v>
      </c>
      <c r="F11" s="10">
        <v>106.43</v>
      </c>
      <c r="G11" s="10">
        <v>179.28</v>
      </c>
      <c r="H11" s="10">
        <v>146.41999999999999</v>
      </c>
      <c r="I11" s="10">
        <v>2148.69</v>
      </c>
      <c r="J11" s="10">
        <v>8</v>
      </c>
      <c r="K11" s="10" t="e">
        <f>#REF!</f>
        <v>#REF!</v>
      </c>
      <c r="L11" s="11">
        <f>Tabela3[[#This Row],[FALTAS JUSTIFICADAS (horas)]]/Tabela3[[#This Row],[HHT]]</f>
        <v>2.2329127521284318E-2</v>
      </c>
      <c r="M11" s="11">
        <f>Tabela3[[#This Row],[FALTAS INJUSTIFICDAS (horas)]]/Tabela3[[#This Row],[HHT]]</f>
        <v>3.7613135225179485E-2</v>
      </c>
      <c r="N11" s="11">
        <f>Tabela3[[#This Row],[QUANT. DE HORAS EXTRAS]]/Tabela3[[#This Row],[HHT]]</f>
        <v>3.0719072175762939E-2</v>
      </c>
      <c r="O11" s="11" t="e">
        <f>Tabela3[[#This Row],[HORAS DE TREINAMENTOS]]/Tabela3[[#This Row],[HHT]]</f>
        <v>#REF!</v>
      </c>
      <c r="P11" s="19">
        <v>1.2E-2</v>
      </c>
      <c r="Q11" s="19">
        <v>1.4999999999999999E-2</v>
      </c>
      <c r="R11" s="20">
        <v>0.06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 s="7"/>
      <c r="HB11" s="7"/>
      <c r="HC11" s="7"/>
      <c r="HD11" s="7"/>
      <c r="HE11" s="7"/>
      <c r="HF11" s="7"/>
      <c r="HG11" s="7"/>
      <c r="HH11" s="7"/>
      <c r="HI11" s="7"/>
      <c r="HJ11" s="1"/>
    </row>
    <row r="12" spans="1:218" s="4" customFormat="1" ht="20.25" hidden="1" customHeight="1" thickBot="1" x14ac:dyDescent="0.3">
      <c r="A12" s="16">
        <v>2021</v>
      </c>
      <c r="B12" s="10" t="s">
        <v>11</v>
      </c>
      <c r="C12" s="10">
        <v>21</v>
      </c>
      <c r="D12" s="10">
        <v>46800.19</v>
      </c>
      <c r="E12" s="10">
        <f>220*Tabela3[[#This Row],[N° DE FUNCIONÁRIOS]]+Tabela3[[#This Row],[QUANT. DE HORAS EXTRAS]]</f>
        <v>5116.29</v>
      </c>
      <c r="F12" s="10">
        <v>28.62</v>
      </c>
      <c r="G12" s="10">
        <v>61.57</v>
      </c>
      <c r="H12" s="10">
        <v>496.29</v>
      </c>
      <c r="I12" s="10">
        <v>6922.23</v>
      </c>
      <c r="J12" s="10">
        <v>5</v>
      </c>
      <c r="K12" s="10" t="e">
        <f>#REF!</f>
        <v>#REF!</v>
      </c>
      <c r="L12" s="11">
        <f>Tabela3[[#This Row],[FALTAS JUSTIFICADAS (horas)]]/Tabela3[[#This Row],[HHT]]</f>
        <v>5.593897140310655E-3</v>
      </c>
      <c r="M12" s="11">
        <f>Tabela3[[#This Row],[FALTAS INJUSTIFICDAS (horas)]]/Tabela3[[#This Row],[HHT]]</f>
        <v>1.2034110654399965E-2</v>
      </c>
      <c r="N12" s="11">
        <f>Tabela3[[#This Row],[QUANT. DE HORAS EXTRAS]]/Tabela3[[#This Row],[HHT]]</f>
        <v>9.7001929132242315E-2</v>
      </c>
      <c r="O12" s="11" t="e">
        <f>Tabela3[[#This Row],[HORAS DE TREINAMENTOS]]/Tabela3[[#This Row],[HHT]]</f>
        <v>#REF!</v>
      </c>
      <c r="P12" s="19">
        <v>1.2E-2</v>
      </c>
      <c r="Q12" s="19">
        <v>1.4999999999999999E-2</v>
      </c>
      <c r="R12" s="20">
        <v>0.06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 s="7"/>
      <c r="HB12" s="7"/>
      <c r="HC12" s="7"/>
      <c r="HD12" s="7"/>
      <c r="HE12" s="7"/>
      <c r="HF12" s="7"/>
      <c r="HG12" s="7"/>
      <c r="HH12" s="7"/>
      <c r="HI12" s="7"/>
      <c r="HJ12" s="1"/>
    </row>
    <row r="13" spans="1:218" s="3" customFormat="1" ht="16.5" hidden="1" thickTop="1" thickBot="1" x14ac:dyDescent="0.3">
      <c r="A13" s="16">
        <v>2021</v>
      </c>
      <c r="B13" s="10" t="s">
        <v>12</v>
      </c>
      <c r="C13" s="10">
        <v>27</v>
      </c>
      <c r="D13" s="10">
        <v>56920.17</v>
      </c>
      <c r="E13" s="10">
        <f>220*Tabela3[[#This Row],[N° DE FUNCIONÁRIOS]]+Tabela3[[#This Row],[QUANT. DE HORAS EXTRAS]]</f>
        <v>6819.18</v>
      </c>
      <c r="F13" s="10">
        <v>77.13</v>
      </c>
      <c r="G13" s="10">
        <v>188.87</v>
      </c>
      <c r="H13" s="10">
        <v>879.18</v>
      </c>
      <c r="I13" s="10">
        <v>12834.11</v>
      </c>
      <c r="J13" s="10">
        <v>7</v>
      </c>
      <c r="K13" s="10" t="e">
        <f>#REF!</f>
        <v>#REF!</v>
      </c>
      <c r="L13" s="11">
        <f>Tabela3[[#This Row],[FALTAS JUSTIFICADAS (horas)]]/Tabela3[[#This Row],[HHT]]</f>
        <v>1.1310744107062724E-2</v>
      </c>
      <c r="M13" s="11">
        <f>Tabela3[[#This Row],[FALTAS INJUSTIFICDAS (horas)]]/Tabela3[[#This Row],[HHT]]</f>
        <v>2.7696878510319423E-2</v>
      </c>
      <c r="N13" s="11">
        <f>Tabela3[[#This Row],[QUANT. DE HORAS EXTRAS]]/Tabela3[[#This Row],[HHT]]</f>
        <v>0.12892752501033847</v>
      </c>
      <c r="O13" s="11" t="e">
        <f>Tabela3[[#This Row],[HORAS DE TREINAMENTOS]]/Tabela3[[#This Row],[HHT]]</f>
        <v>#REF!</v>
      </c>
      <c r="P13" s="19">
        <v>1.2E-2</v>
      </c>
      <c r="Q13" s="19">
        <v>1.4999999999999999E-2</v>
      </c>
      <c r="R13" s="20">
        <v>0.06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 s="7"/>
      <c r="HB13" s="7"/>
      <c r="HC13" s="7"/>
      <c r="HD13" s="7"/>
      <c r="HE13" s="7"/>
      <c r="HF13" s="7"/>
      <c r="HG13" s="7"/>
      <c r="HH13" s="7"/>
      <c r="HI13" s="7"/>
      <c r="HJ13" s="1"/>
    </row>
    <row r="14" spans="1:218" s="4" customFormat="1" ht="16.5" hidden="1" thickTop="1" thickBot="1" x14ac:dyDescent="0.3">
      <c r="A14" s="16">
        <v>2021</v>
      </c>
      <c r="B14" s="10" t="s">
        <v>13</v>
      </c>
      <c r="C14" s="10">
        <v>27</v>
      </c>
      <c r="D14" s="10">
        <v>64211.28</v>
      </c>
      <c r="E14" s="10">
        <f>220*Tabela3[[#This Row],[N° DE FUNCIONÁRIOS]]+Tabela3[[#This Row],[QUANT. DE HORAS EXTRAS]]</f>
        <v>6857.2</v>
      </c>
      <c r="F14" s="10">
        <v>201.03</v>
      </c>
      <c r="G14" s="10">
        <v>134.78</v>
      </c>
      <c r="H14" s="10">
        <v>917.2</v>
      </c>
      <c r="I14" s="10">
        <v>11361.3</v>
      </c>
      <c r="J14" s="10">
        <v>15</v>
      </c>
      <c r="K14" s="10" t="e">
        <f>#REF!</f>
        <v>#REF!</v>
      </c>
      <c r="L14" s="11">
        <f>Tabela3[[#This Row],[FALTAS JUSTIFICADAS (horas)]]/Tabela3[[#This Row],[HHT]]</f>
        <v>2.931663069474421E-2</v>
      </c>
      <c r="M14" s="11">
        <f>Tabela3[[#This Row],[FALTAS INJUSTIFICDAS (horas)]]/Tabela3[[#This Row],[HHT]]</f>
        <v>1.9655252872892725E-2</v>
      </c>
      <c r="N14" s="11">
        <f>Tabela3[[#This Row],[QUANT. DE HORAS EXTRAS]]/Tabela3[[#This Row],[HHT]]</f>
        <v>0.13375721868984425</v>
      </c>
      <c r="O14" s="11" t="e">
        <f>Tabela3[[#This Row],[HORAS DE TREINAMENTOS]]/Tabela3[[#This Row],[HHT]]</f>
        <v>#REF!</v>
      </c>
      <c r="P14" s="19">
        <v>1.2E-2</v>
      </c>
      <c r="Q14" s="19">
        <v>1.4999999999999999E-2</v>
      </c>
      <c r="R14" s="20">
        <v>0.06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 s="7"/>
      <c r="HB14" s="7"/>
      <c r="HC14" s="7"/>
      <c r="HD14" s="7"/>
      <c r="HE14" s="7"/>
      <c r="HF14" s="7"/>
      <c r="HG14" s="7"/>
      <c r="HH14" s="7"/>
      <c r="HI14" s="7"/>
      <c r="HJ14" s="1"/>
    </row>
    <row r="15" spans="1:218" s="3" customFormat="1" ht="16.5" hidden="1" thickTop="1" thickBot="1" x14ac:dyDescent="0.3">
      <c r="A15" s="16">
        <v>2021</v>
      </c>
      <c r="B15" s="10" t="s">
        <v>14</v>
      </c>
      <c r="C15" s="10">
        <v>29</v>
      </c>
      <c r="D15" s="10">
        <v>75188.14</v>
      </c>
      <c r="E15" s="10">
        <f>220*Tabela3[[#This Row],[N° DE FUNCIONÁRIOS]]+Tabela3[[#This Row],[QUANT. DE HORAS EXTRAS]]</f>
        <v>7087.6900000000005</v>
      </c>
      <c r="F15" s="10">
        <v>173.36</v>
      </c>
      <c r="G15" s="10">
        <v>229.39</v>
      </c>
      <c r="H15" s="10">
        <v>707.69</v>
      </c>
      <c r="I15" s="10">
        <v>11945.33</v>
      </c>
      <c r="J15" s="10">
        <v>7</v>
      </c>
      <c r="K15" s="57" t="e">
        <f>#REF!</f>
        <v>#REF!</v>
      </c>
      <c r="L15" s="11">
        <f>Tabela3[[#This Row],[FALTAS JUSTIFICADAS (horas)]]/Tabela3[[#This Row],[HHT]]</f>
        <v>2.4459309027341773E-2</v>
      </c>
      <c r="M15" s="11">
        <f>Tabela3[[#This Row],[FALTAS INJUSTIFICDAS (horas)]]/Tabela3[[#This Row],[HHT]]</f>
        <v>3.236456447728385E-2</v>
      </c>
      <c r="N15" s="11">
        <f>Tabela3[[#This Row],[QUANT. DE HORAS EXTRAS]]/Tabela3[[#This Row],[HHT]]</f>
        <v>9.9847764222193686E-2</v>
      </c>
      <c r="O15" s="11" t="e">
        <f>Tabela3[[#This Row],[HORAS DE TREINAMENTOS]]/Tabela3[[#This Row],[HHT]]</f>
        <v>#REF!</v>
      </c>
      <c r="P15" s="19">
        <v>1.2E-2</v>
      </c>
      <c r="Q15" s="19">
        <v>1.4999999999999999E-2</v>
      </c>
      <c r="R15" s="20">
        <v>0.06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 s="7"/>
      <c r="HB15" s="7"/>
      <c r="HC15" s="7"/>
      <c r="HD15" s="7"/>
      <c r="HE15" s="7"/>
      <c r="HF15" s="7"/>
      <c r="HG15" s="7"/>
      <c r="HH15" s="7"/>
      <c r="HI15" s="7"/>
      <c r="HJ15" s="1"/>
    </row>
    <row r="16" spans="1:218" s="4" customFormat="1" ht="20.25" hidden="1" customHeight="1" thickBot="1" x14ac:dyDescent="0.3">
      <c r="A16" s="25">
        <v>2021</v>
      </c>
      <c r="B16" s="31" t="s">
        <v>15</v>
      </c>
      <c r="C16" s="31">
        <v>29</v>
      </c>
      <c r="D16" s="32">
        <v>68173.61</v>
      </c>
      <c r="E16" s="33">
        <f>220*Tabela3[[#This Row],[N° DE FUNCIONÁRIOS]]+Tabela3[[#This Row],[QUANT. DE HORAS EXTRAS]]</f>
        <v>6428.98</v>
      </c>
      <c r="F16" s="31">
        <v>242.99</v>
      </c>
      <c r="G16" s="31">
        <v>64.14</v>
      </c>
      <c r="H16" s="31">
        <f>3.48+18.5+27</f>
        <v>48.980000000000004</v>
      </c>
      <c r="I16" s="31">
        <f>40.11+270.77+58.3</f>
        <v>369.18</v>
      </c>
      <c r="J16" s="31">
        <v>3</v>
      </c>
      <c r="K16" s="31" t="e">
        <f>#REF!</f>
        <v>#REF!</v>
      </c>
      <c r="L16" s="34">
        <f>Tabela3[[#This Row],[FALTAS JUSTIFICADAS (horas)]]/Tabela3[[#This Row],[HHT]]</f>
        <v>3.7796042295978528E-2</v>
      </c>
      <c r="M16" s="34">
        <f>Tabela3[[#This Row],[FALTAS INJUSTIFICDAS (horas)]]/Tabela3[[#This Row],[HHT]]</f>
        <v>9.976699258669338E-3</v>
      </c>
      <c r="N16" s="34">
        <f>Tabela3[[#This Row],[QUANT. DE HORAS EXTRAS]]/Tabela3[[#This Row],[HHT]]</f>
        <v>7.6186269050455913E-3</v>
      </c>
      <c r="O16" s="34" t="e">
        <f>Tabela3[[#This Row],[HORAS DE TREINAMENTOS]]/Tabela3[[#This Row],[HHT]]</f>
        <v>#REF!</v>
      </c>
      <c r="P16" s="35">
        <v>1.2E-2</v>
      </c>
      <c r="Q16" s="35">
        <v>1.4999999999999999E-2</v>
      </c>
      <c r="R16" s="36">
        <v>0.06</v>
      </c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 s="7"/>
      <c r="HB16" s="7"/>
      <c r="HC16" s="7"/>
      <c r="HD16" s="7"/>
      <c r="HE16" s="7"/>
      <c r="HF16" s="7"/>
      <c r="HG16" s="7"/>
      <c r="HH16" s="7"/>
      <c r="HI16" s="7"/>
      <c r="HJ16" s="1"/>
    </row>
    <row r="17" spans="1:217" ht="20.25" customHeight="1" thickBot="1" x14ac:dyDescent="0.3">
      <c r="A17" s="26">
        <v>2022</v>
      </c>
      <c r="B17" s="37" t="s">
        <v>4</v>
      </c>
      <c r="C17" s="37">
        <v>27</v>
      </c>
      <c r="D17" s="56">
        <v>61011.13</v>
      </c>
      <c r="E17" s="37">
        <f>220*Tabela3[[#This Row],[N° DE FUNCIONÁRIOS]]+Tabela3[[#This Row],[QUANT. DE HORAS EXTRAS]]</f>
        <v>6072.91</v>
      </c>
      <c r="F17" s="37">
        <v>839.87</v>
      </c>
      <c r="G17" s="37">
        <v>46.59</v>
      </c>
      <c r="H17" s="37">
        <v>132.91</v>
      </c>
      <c r="I17" s="37" t="s">
        <v>46</v>
      </c>
      <c r="J17" s="37">
        <v>9</v>
      </c>
      <c r="K17" s="37" t="e">
        <f>#REF!</f>
        <v>#REF!</v>
      </c>
      <c r="L17" s="38">
        <f>Tabela3[[#This Row],[FALTAS JUSTIFICADAS (horas)]]/Tabela3[[#This Row],[HHT]]</f>
        <v>0.13829778475228516</v>
      </c>
      <c r="M17" s="38">
        <f>Tabela3[[#This Row],[FALTAS INJUSTIFICDAS (horas)]]/Tabela3[[#This Row],[HHT]]</f>
        <v>7.6717751456879821E-3</v>
      </c>
      <c r="N17" s="38">
        <f>Tabela3[[#This Row],[QUANT. DE HORAS EXTRAS]]/Tabela3[[#This Row],[HHT]]</f>
        <v>2.1885718708164619E-2</v>
      </c>
      <c r="O17" s="38" t="e">
        <f>Tabela3[[#This Row],[HORAS DE TREINAMENTOS]]/Tabela3[[#This Row],[HHT]]</f>
        <v>#REF!</v>
      </c>
      <c r="P17" s="39">
        <v>1.2E-2</v>
      </c>
      <c r="Q17" s="39">
        <v>1.4999999999999999E-2</v>
      </c>
      <c r="R17" s="40">
        <v>0.06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HA17" s="7"/>
      <c r="HB17" s="7"/>
      <c r="HC17" s="7"/>
      <c r="HD17" s="7"/>
      <c r="HE17" s="7"/>
      <c r="HF17" s="7"/>
      <c r="HG17" s="7"/>
      <c r="HH17" s="7"/>
      <c r="HI17" s="7"/>
    </row>
    <row r="18" spans="1:217" ht="20.25" customHeight="1" thickTop="1" thickBot="1" x14ac:dyDescent="0.3">
      <c r="A18" s="27">
        <v>2022</v>
      </c>
      <c r="B18" s="41" t="s">
        <v>5</v>
      </c>
      <c r="C18" s="41">
        <v>25</v>
      </c>
      <c r="D18" s="41">
        <v>54585.35</v>
      </c>
      <c r="E18" s="37">
        <f>220*Tabela3[[#This Row],[N° DE FUNCIONÁRIOS]]+Tabela3[[#This Row],[QUANT. DE HORAS EXTRAS]]</f>
        <v>5590.25</v>
      </c>
      <c r="F18" s="41">
        <v>492.5</v>
      </c>
      <c r="G18" s="41">
        <v>93.52</v>
      </c>
      <c r="H18" s="41">
        <v>90.25</v>
      </c>
      <c r="I18" s="41">
        <v>1451.21</v>
      </c>
      <c r="J18" s="41">
        <v>9</v>
      </c>
      <c r="K18" s="41" t="e">
        <f>#REF!</f>
        <v>#REF!</v>
      </c>
      <c r="L18" s="42">
        <f>Tabela3[[#This Row],[FALTAS JUSTIFICADAS (horas)]]/Tabela3[[#This Row],[HHT]]</f>
        <v>8.8099816645051648E-2</v>
      </c>
      <c r="M18" s="42">
        <f>Tabela3[[#This Row],[FALTAS INJUSTIFICDAS (horas)]]/Tabela3[[#This Row],[HHT]]</f>
        <v>1.6729126604355798E-2</v>
      </c>
      <c r="N18" s="42">
        <f>Tabela3[[#This Row],[QUANT. DE HORAS EXTRAS]]/Tabela3[[#This Row],[HHT]]</f>
        <v>1.6144179598407943E-2</v>
      </c>
      <c r="O18" s="42" t="e">
        <f>Tabela3[[#This Row],[HORAS DE TREINAMENTOS]]/Tabela3[[#This Row],[HHT]]</f>
        <v>#REF!</v>
      </c>
      <c r="P18" s="43">
        <v>1.2E-2</v>
      </c>
      <c r="Q18" s="43">
        <v>1.4999999999999999E-2</v>
      </c>
      <c r="R18" s="44">
        <v>0.06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HA18" s="7"/>
      <c r="HB18" s="7"/>
      <c r="HC18" s="7"/>
      <c r="HD18" s="7"/>
      <c r="HE18" s="7"/>
      <c r="HF18" s="7"/>
      <c r="HG18" s="7"/>
      <c r="HH18" s="7"/>
      <c r="HI18" s="7"/>
    </row>
    <row r="19" spans="1:217" ht="20.25" customHeight="1" thickTop="1" thickBot="1" x14ac:dyDescent="0.3">
      <c r="A19" s="27">
        <v>2022</v>
      </c>
      <c r="B19" s="41" t="s">
        <v>6</v>
      </c>
      <c r="C19" s="41">
        <v>26</v>
      </c>
      <c r="D19" s="59">
        <v>55022.55</v>
      </c>
      <c r="E19" s="41">
        <f>220*Tabela3[[#This Row],[N° DE FUNCIONÁRIOS]]+Tabela3[[#This Row],[QUANT. DE HORAS EXTRAS]]</f>
        <v>5947.37</v>
      </c>
      <c r="F19" s="41">
        <v>115.56</v>
      </c>
      <c r="G19" s="41">
        <v>88.47</v>
      </c>
      <c r="H19" s="41">
        <f>SUM(76.14+4.49+146.74)</f>
        <v>227.37</v>
      </c>
      <c r="I19" s="41">
        <f>SUM(1263.51+63.96+2078.14+662.18)</f>
        <v>4067.7899999999995</v>
      </c>
      <c r="J19" s="41">
        <v>8</v>
      </c>
      <c r="K19" s="41">
        <v>89</v>
      </c>
      <c r="L19" s="42">
        <f>Tabela3[[#This Row],[FALTAS JUSTIFICADAS (horas)]]/Tabela3[[#This Row],[HHT]]</f>
        <v>1.9430437319352924E-2</v>
      </c>
      <c r="M19" s="42">
        <f>Tabela3[[#This Row],[FALTAS INJUSTIFICDAS (horas)]]/Tabela3[[#This Row],[HHT]]</f>
        <v>1.4875482776420501E-2</v>
      </c>
      <c r="N19" s="42">
        <f>Tabela3[[#This Row],[QUANT. DE HORAS EXTRAS]]/Tabela3[[#This Row],[HHT]]</f>
        <v>3.8230343832652079E-2</v>
      </c>
      <c r="O19" s="42">
        <f>Tabela3[[#This Row],[HORAS DE TREINAMENTOS]]/Tabela3[[#This Row],[HHT]]</f>
        <v>1.4964597797009436E-2</v>
      </c>
      <c r="P19" s="43">
        <v>1.2E-2</v>
      </c>
      <c r="Q19" s="43">
        <v>1.4999999999999999E-2</v>
      </c>
      <c r="R19" s="44">
        <v>0.06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HA19" s="7"/>
      <c r="HB19" s="7"/>
      <c r="HC19" s="7"/>
      <c r="HD19" s="7"/>
      <c r="HE19" s="7"/>
      <c r="HF19" s="7"/>
      <c r="HG19" s="7"/>
      <c r="HH19" s="7"/>
      <c r="HI19" s="7"/>
    </row>
    <row r="20" spans="1:217" ht="20.25" customHeight="1" thickTop="1" thickBot="1" x14ac:dyDescent="0.3">
      <c r="A20" s="28">
        <v>2022</v>
      </c>
      <c r="B20" s="45" t="s">
        <v>7</v>
      </c>
      <c r="C20" s="45">
        <v>27</v>
      </c>
      <c r="D20" s="58">
        <v>63688.01</v>
      </c>
      <c r="E20" s="41">
        <f>220*Tabela3[[#This Row],[N° DE FUNCIONÁRIOS]]+Tabela3[[#This Row],[QUANT. DE HORAS EXTRAS]]</f>
        <v>6505.35</v>
      </c>
      <c r="F20" s="45">
        <v>66.14</v>
      </c>
      <c r="G20" s="45">
        <v>103.49</v>
      </c>
      <c r="H20" s="45">
        <f>SUM(100.91+107.56+331.72+25.16)</f>
        <v>565.35</v>
      </c>
      <c r="I20" s="45">
        <f>SUM(1673.49+1454.23+4530.16+70.35+1905.96)</f>
        <v>9634.19</v>
      </c>
      <c r="J20" s="45">
        <v>5</v>
      </c>
      <c r="K20" s="45">
        <v>92</v>
      </c>
      <c r="L20" s="46">
        <f>Tabela3[[#This Row],[FALTAS JUSTIFICADAS (horas)]]/Tabela3[[#This Row],[HHT]]</f>
        <v>1.0167016378826657E-2</v>
      </c>
      <c r="M20" s="46">
        <f>Tabela3[[#This Row],[FALTAS INJUSTIFICDAS (horas)]]/Tabela3[[#This Row],[HHT]]</f>
        <v>1.5908444587916099E-2</v>
      </c>
      <c r="N20" s="46">
        <f>Tabela3[[#This Row],[QUANT. DE HORAS EXTRAS]]/Tabela3[[#This Row],[HHT]]</f>
        <v>8.6905393253245408E-2</v>
      </c>
      <c r="O20" s="46">
        <f>Tabela3[[#This Row],[HORAS DE TREINAMENTOS]]/Tabela3[[#This Row],[HHT]]</f>
        <v>1.4142206030421114E-2</v>
      </c>
      <c r="P20" s="47">
        <v>1.2E-2</v>
      </c>
      <c r="Q20" s="47">
        <v>1.4999999999999999E-2</v>
      </c>
      <c r="R20" s="48">
        <v>0.06</v>
      </c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HA20" s="7"/>
      <c r="HB20" s="7"/>
      <c r="HC20" s="7"/>
      <c r="HD20" s="7"/>
      <c r="HE20" s="7"/>
      <c r="HF20" s="7"/>
      <c r="HG20" s="7"/>
      <c r="HH20" s="7"/>
      <c r="HI20" s="7"/>
    </row>
    <row r="21" spans="1:217" ht="20.25" customHeight="1" thickTop="1" thickBot="1" x14ac:dyDescent="0.3">
      <c r="A21" s="27">
        <v>2022</v>
      </c>
      <c r="B21" s="41" t="s">
        <v>8</v>
      </c>
      <c r="C21" s="41">
        <v>28</v>
      </c>
      <c r="D21" s="59">
        <v>67510.149999999994</v>
      </c>
      <c r="E21" s="41">
        <f>220*Tabela3[[#This Row],[N° DE FUNCIONÁRIOS]]+Tabela3[[#This Row],[QUANT. DE HORAS EXTRAS]]</f>
        <v>6732.97</v>
      </c>
      <c r="F21" s="41">
        <v>151.82</v>
      </c>
      <c r="G21" s="41">
        <v>114.18</v>
      </c>
      <c r="H21" s="41">
        <f>SUM(161.31+232.32+30.46+148.88)</f>
        <v>572.97</v>
      </c>
      <c r="I21" s="41">
        <v>7532.48</v>
      </c>
      <c r="J21" s="41">
        <v>5</v>
      </c>
      <c r="K21" s="41">
        <v>134</v>
      </c>
      <c r="L21" s="42">
        <f>Tabela3[[#This Row],[FALTAS JUSTIFICADAS (horas)]]/Tabela3[[#This Row],[HHT]]</f>
        <v>2.254874149149632E-2</v>
      </c>
      <c r="M21" s="42">
        <f>Tabela3[[#This Row],[FALTAS INJUSTIFICDAS (horas)]]/Tabela3[[#This Row],[HHT]]</f>
        <v>1.6958340821361152E-2</v>
      </c>
      <c r="N21" s="42">
        <f>Tabela3[[#This Row],[QUANT. DE HORAS EXTRAS]]/Tabela3[[#This Row],[HHT]]</f>
        <v>8.5099146439090029E-2</v>
      </c>
      <c r="O21" s="42">
        <f>Tabela3[[#This Row],[HORAS DE TREINAMENTOS]]/Tabela3[[#This Row],[HHT]]</f>
        <v>1.9902064022266547E-2</v>
      </c>
      <c r="P21" s="43">
        <v>1.2E-2</v>
      </c>
      <c r="Q21" s="43">
        <v>1.4999999999999999E-2</v>
      </c>
      <c r="R21" s="44">
        <v>0.06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HA21" s="7"/>
      <c r="HB21" s="7"/>
      <c r="HC21" s="7"/>
      <c r="HD21" s="7"/>
      <c r="HE21" s="7"/>
      <c r="HF21" s="7"/>
      <c r="HG21" s="7"/>
      <c r="HH21" s="7"/>
      <c r="HI21" s="7"/>
    </row>
    <row r="22" spans="1:217" ht="20.25" customHeight="1" thickTop="1" thickBot="1" x14ac:dyDescent="0.3">
      <c r="A22" s="27">
        <v>2022</v>
      </c>
      <c r="B22" s="41" t="s">
        <v>9</v>
      </c>
      <c r="C22" s="41">
        <v>27</v>
      </c>
      <c r="D22" s="59">
        <v>64857.93</v>
      </c>
      <c r="E22" s="41">
        <f>220*Tabela3[[#This Row],[N° DE FUNCIONÁRIOS]]+Tabela3[[#This Row],[QUANT. DE HORAS EXTRAS]]</f>
        <v>6292.64</v>
      </c>
      <c r="F22" s="41">
        <v>109.42</v>
      </c>
      <c r="G22" s="41">
        <v>62.3</v>
      </c>
      <c r="H22" s="41">
        <f>SUM(23.87+79.38+68.94+180.45)</f>
        <v>352.64</v>
      </c>
      <c r="I22" s="41">
        <f>SUM(401.55+1063.64+1003.75+473.82+493.78)</f>
        <v>3436.54</v>
      </c>
      <c r="J22" s="41">
        <v>6</v>
      </c>
      <c r="K22" s="41">
        <v>123</v>
      </c>
      <c r="L22" s="42">
        <f>Tabela3[[#This Row],[FALTAS JUSTIFICADAS (horas)]]/Tabela3[[#This Row],[HHT]]</f>
        <v>1.7388568232093365E-2</v>
      </c>
      <c r="M22" s="42">
        <f>Tabela3[[#This Row],[FALTAS INJUSTIFICDAS (horas)]]/Tabela3[[#This Row],[HHT]]</f>
        <v>9.9004551348877406E-3</v>
      </c>
      <c r="N22" s="42">
        <f>Tabela3[[#This Row],[QUANT. DE HORAS EXTRAS]]/Tabela3[[#This Row],[HHT]]</f>
        <v>5.6040072211345313E-2</v>
      </c>
      <c r="O22" s="42">
        <f>Tabela3[[#This Row],[HORAS DE TREINAMENTOS]]/Tabela3[[#This Row],[HHT]]</f>
        <v>1.9546644969361031E-2</v>
      </c>
      <c r="P22" s="43">
        <v>1.2E-2</v>
      </c>
      <c r="Q22" s="43">
        <v>1.4999999999999999E-2</v>
      </c>
      <c r="R22" s="44">
        <v>0.06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HA22" s="7"/>
      <c r="HB22" s="7"/>
      <c r="HC22" s="7"/>
      <c r="HD22" s="7"/>
      <c r="HE22" s="7"/>
      <c r="HF22" s="7"/>
      <c r="HG22" s="7"/>
      <c r="HH22" s="7"/>
      <c r="HI22" s="7"/>
    </row>
    <row r="23" spans="1:217" ht="20.25" customHeight="1" thickTop="1" thickBot="1" x14ac:dyDescent="0.3">
      <c r="A23" s="27">
        <v>2022</v>
      </c>
      <c r="B23" s="41" t="s">
        <v>10</v>
      </c>
      <c r="C23" s="41">
        <v>25</v>
      </c>
      <c r="D23" s="41">
        <v>66370.91</v>
      </c>
      <c r="E23" s="41">
        <f>220*Tabela3[[#This Row],[N° DE FUNCIONÁRIOS]]+Tabela3[[#This Row],[QUANT. DE HORAS EXTRAS]]</f>
        <v>5683.62</v>
      </c>
      <c r="F23" s="41">
        <v>344.15</v>
      </c>
      <c r="G23" s="41">
        <v>65.459999999999994</v>
      </c>
      <c r="H23" s="41">
        <f>SUM(45.68+131.78+6.16)</f>
        <v>183.62</v>
      </c>
      <c r="I23" s="41">
        <f>SUM(634.67+1947.4+522.04+92.4)</f>
        <v>3196.51</v>
      </c>
      <c r="J23" s="41">
        <v>6</v>
      </c>
      <c r="K23" s="41">
        <v>92</v>
      </c>
      <c r="L23" s="42">
        <f>Tabela3[[#This Row],[FALTAS JUSTIFICADAS (horas)]]/Tabela3[[#This Row],[HHT]]</f>
        <v>6.0551198004088938E-2</v>
      </c>
      <c r="M23" s="42">
        <f>Tabela3[[#This Row],[FALTAS INJUSTIFICDAS (horas)]]/Tabela3[[#This Row],[HHT]]</f>
        <v>1.1517307631403928E-2</v>
      </c>
      <c r="N23" s="42">
        <f>Tabela3[[#This Row],[QUANT. DE HORAS EXTRAS]]/Tabela3[[#This Row],[HHT]]</f>
        <v>3.2306874843849517E-2</v>
      </c>
      <c r="O23" s="42">
        <f>Tabela3[[#This Row],[HORAS DE TREINAMENTOS]]/Tabela3[[#This Row],[HHT]]</f>
        <v>1.6186866820793792E-2</v>
      </c>
      <c r="P23" s="43">
        <v>1.2E-2</v>
      </c>
      <c r="Q23" s="43">
        <v>1.4999999999999999E-2</v>
      </c>
      <c r="R23" s="44">
        <v>0.06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HA23" s="7"/>
      <c r="HB23" s="7"/>
      <c r="HC23" s="7"/>
      <c r="HD23" s="7"/>
      <c r="HE23" s="7"/>
      <c r="HF23" s="7"/>
      <c r="HG23" s="7"/>
      <c r="HH23" s="7"/>
      <c r="HI23" s="7"/>
    </row>
    <row r="24" spans="1:217" ht="20.25" customHeight="1" thickTop="1" thickBot="1" x14ac:dyDescent="0.3">
      <c r="A24" s="27">
        <v>2022</v>
      </c>
      <c r="B24" s="41" t="s">
        <v>11</v>
      </c>
      <c r="C24" s="41"/>
      <c r="D24" s="41"/>
      <c r="E24" s="41"/>
      <c r="F24" s="41"/>
      <c r="G24" s="41"/>
      <c r="H24" s="41"/>
      <c r="I24" s="41"/>
      <c r="J24" s="41"/>
      <c r="K24" s="41"/>
      <c r="L24" s="42" t="e">
        <f>Tabela3[[#This Row],[FALTAS JUSTIFICADAS (horas)]]/Tabela3[[#This Row],[HHT]]</f>
        <v>#DIV/0!</v>
      </c>
      <c r="M24" s="42" t="e">
        <f>Tabela3[[#This Row],[FALTAS INJUSTIFICDAS (horas)]]/Tabela3[[#This Row],[HHT]]</f>
        <v>#DIV/0!</v>
      </c>
      <c r="N24" s="42" t="e">
        <f>Tabela3[[#This Row],[QUANT. DE HORAS EXTRAS]]/Tabela3[[#This Row],[HHT]]</f>
        <v>#DIV/0!</v>
      </c>
      <c r="O24" s="42" t="e">
        <f>Tabela3[[#This Row],[HORAS DE TREINAMENTOS]]/Tabela3[[#This Row],[HHT]]</f>
        <v>#DIV/0!</v>
      </c>
      <c r="P24" s="43">
        <v>1.2E-2</v>
      </c>
      <c r="Q24" s="43">
        <v>1.4999999999999999E-2</v>
      </c>
      <c r="R24" s="44">
        <v>0.06</v>
      </c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HA24" s="7"/>
      <c r="HB24" s="7"/>
      <c r="HC24" s="7"/>
      <c r="HD24" s="7"/>
      <c r="HE24" s="7"/>
      <c r="HF24" s="7"/>
      <c r="HG24" s="7"/>
      <c r="HH24" s="7"/>
      <c r="HI24" s="7"/>
    </row>
    <row r="25" spans="1:217" ht="20.25" customHeight="1" thickTop="1" thickBot="1" x14ac:dyDescent="0.3">
      <c r="A25" s="27">
        <v>2022</v>
      </c>
      <c r="B25" s="41" t="s">
        <v>12</v>
      </c>
      <c r="C25" s="41"/>
      <c r="D25" s="41"/>
      <c r="E25" s="41"/>
      <c r="F25" s="41"/>
      <c r="G25" s="41"/>
      <c r="H25" s="41"/>
      <c r="I25" s="41"/>
      <c r="J25" s="41"/>
      <c r="K25" s="41"/>
      <c r="L25" s="42" t="e">
        <f>Tabela3[[#This Row],[FALTAS JUSTIFICADAS (horas)]]/Tabela3[[#This Row],[HHT]]</f>
        <v>#DIV/0!</v>
      </c>
      <c r="M25" s="42" t="e">
        <f>Tabela3[[#This Row],[FALTAS INJUSTIFICDAS (horas)]]/Tabela3[[#This Row],[HHT]]</f>
        <v>#DIV/0!</v>
      </c>
      <c r="N25" s="42" t="e">
        <f>Tabela3[[#This Row],[QUANT. DE HORAS EXTRAS]]/Tabela3[[#This Row],[HHT]]</f>
        <v>#DIV/0!</v>
      </c>
      <c r="O25" s="42" t="e">
        <f>Tabela3[[#This Row],[HORAS DE TREINAMENTOS]]/Tabela3[[#This Row],[HHT]]</f>
        <v>#DIV/0!</v>
      </c>
      <c r="P25" s="43">
        <v>1.2E-2</v>
      </c>
      <c r="Q25" s="43">
        <v>1.4999999999999999E-2</v>
      </c>
      <c r="R25" s="44">
        <v>0.06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HA25" s="7"/>
      <c r="HB25" s="7"/>
      <c r="HC25" s="7"/>
      <c r="HD25" s="7"/>
      <c r="HE25" s="7"/>
      <c r="HF25" s="7"/>
      <c r="HG25" s="7"/>
      <c r="HH25" s="7"/>
      <c r="HI25" s="7"/>
    </row>
    <row r="26" spans="1:217" ht="20.25" customHeight="1" thickTop="1" thickBot="1" x14ac:dyDescent="0.3">
      <c r="A26" s="27">
        <v>2022</v>
      </c>
      <c r="B26" s="41" t="s">
        <v>13</v>
      </c>
      <c r="C26" s="41"/>
      <c r="D26" s="41"/>
      <c r="E26" s="41"/>
      <c r="F26" s="41"/>
      <c r="G26" s="41"/>
      <c r="H26" s="41"/>
      <c r="I26" s="41"/>
      <c r="J26" s="41"/>
      <c r="K26" s="41"/>
      <c r="L26" s="42" t="e">
        <f>Tabela3[[#This Row],[FALTAS JUSTIFICADAS (horas)]]/Tabela3[[#This Row],[HHT]]</f>
        <v>#DIV/0!</v>
      </c>
      <c r="M26" s="42" t="e">
        <f>Tabela3[[#This Row],[FALTAS INJUSTIFICDAS (horas)]]/Tabela3[[#This Row],[HHT]]</f>
        <v>#DIV/0!</v>
      </c>
      <c r="N26" s="42" t="e">
        <f>Tabela3[[#This Row],[QUANT. DE HORAS EXTRAS]]/Tabela3[[#This Row],[HHT]]</f>
        <v>#DIV/0!</v>
      </c>
      <c r="O26" s="42" t="e">
        <f>Tabela3[[#This Row],[HORAS DE TREINAMENTOS]]/Tabela3[[#This Row],[HHT]]</f>
        <v>#DIV/0!</v>
      </c>
      <c r="P26" s="43">
        <v>1.2E-2</v>
      </c>
      <c r="Q26" s="43">
        <v>1.4999999999999999E-2</v>
      </c>
      <c r="R26" s="44">
        <v>0.06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HA26" s="7"/>
      <c r="HB26" s="7"/>
      <c r="HC26" s="7"/>
      <c r="HD26" s="7"/>
      <c r="HE26" s="7"/>
      <c r="HF26" s="7"/>
      <c r="HG26" s="7"/>
      <c r="HH26" s="7"/>
      <c r="HI26" s="7"/>
    </row>
    <row r="27" spans="1:217" ht="20.25" customHeight="1" thickTop="1" thickBot="1" x14ac:dyDescent="0.3">
      <c r="A27" s="27">
        <v>2022</v>
      </c>
      <c r="B27" s="41" t="s">
        <v>14</v>
      </c>
      <c r="C27" s="41"/>
      <c r="D27" s="41"/>
      <c r="E27" s="41"/>
      <c r="F27" s="41"/>
      <c r="G27" s="41"/>
      <c r="H27" s="41"/>
      <c r="I27" s="41"/>
      <c r="J27" s="41"/>
      <c r="K27" s="41"/>
      <c r="L27" s="42" t="e">
        <f>Tabela3[[#This Row],[FALTAS JUSTIFICADAS (horas)]]/Tabela3[[#This Row],[HHT]]</f>
        <v>#DIV/0!</v>
      </c>
      <c r="M27" s="42" t="e">
        <f>Tabela3[[#This Row],[FALTAS INJUSTIFICDAS (horas)]]/Tabela3[[#This Row],[HHT]]</f>
        <v>#DIV/0!</v>
      </c>
      <c r="N27" s="42" t="e">
        <f>Tabela3[[#This Row],[QUANT. DE HORAS EXTRAS]]/Tabela3[[#This Row],[HHT]]</f>
        <v>#DIV/0!</v>
      </c>
      <c r="O27" s="42" t="e">
        <f>Tabela3[[#This Row],[HORAS DE TREINAMENTOS]]/Tabela3[[#This Row],[HHT]]</f>
        <v>#DIV/0!</v>
      </c>
      <c r="P27" s="43">
        <v>1.2E-2</v>
      </c>
      <c r="Q27" s="43">
        <v>1.4999999999999999E-2</v>
      </c>
      <c r="R27" s="44">
        <v>0.06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HA27" s="7"/>
      <c r="HB27" s="7"/>
      <c r="HC27" s="7"/>
      <c r="HD27" s="7"/>
      <c r="HE27" s="7"/>
      <c r="HF27" s="7"/>
      <c r="HG27" s="7"/>
      <c r="HH27" s="7"/>
      <c r="HI27" s="7"/>
    </row>
    <row r="28" spans="1:217" ht="20.25" customHeight="1" thickTop="1" thickBot="1" x14ac:dyDescent="0.3">
      <c r="A28" s="29">
        <v>2022</v>
      </c>
      <c r="B28" s="49" t="s">
        <v>15</v>
      </c>
      <c r="C28" s="49"/>
      <c r="D28" s="49"/>
      <c r="E28" s="49"/>
      <c r="F28" s="49"/>
      <c r="G28" s="49"/>
      <c r="H28" s="49"/>
      <c r="I28" s="49"/>
      <c r="J28" s="49"/>
      <c r="K28" s="49"/>
      <c r="L28" s="50" t="e">
        <f>Tabela3[[#This Row],[FALTAS JUSTIFICADAS (horas)]]/Tabela3[[#This Row],[HHT]]</f>
        <v>#DIV/0!</v>
      </c>
      <c r="M28" s="50" t="e">
        <f>Tabela3[[#This Row],[FALTAS INJUSTIFICDAS (horas)]]/Tabela3[[#This Row],[HHT]]</f>
        <v>#DIV/0!</v>
      </c>
      <c r="N28" s="50" t="e">
        <f>Tabela3[[#This Row],[QUANT. DE HORAS EXTRAS]]/Tabela3[[#This Row],[HHT]]</f>
        <v>#DIV/0!</v>
      </c>
      <c r="O28" s="50" t="e">
        <f>Tabela3[[#This Row],[HORAS DE TREINAMENTOS]]/Tabela3[[#This Row],[HHT]]</f>
        <v>#DIV/0!</v>
      </c>
      <c r="P28" s="35">
        <v>1.2E-2</v>
      </c>
      <c r="Q28" s="35">
        <v>1.4999999999999999E-2</v>
      </c>
      <c r="R28" s="36">
        <v>0.06</v>
      </c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HA28" s="7"/>
      <c r="HB28" s="7"/>
      <c r="HC28" s="7"/>
      <c r="HD28" s="7"/>
      <c r="HE28" s="7"/>
      <c r="HF28" s="7"/>
      <c r="HG28" s="7"/>
      <c r="HH28" s="7"/>
      <c r="HI28" s="7"/>
    </row>
    <row r="29" spans="1:217" ht="16.5" thickTop="1" x14ac:dyDescent="0.25">
      <c r="A29" s="30">
        <v>2023</v>
      </c>
      <c r="B29" s="51" t="s">
        <v>4</v>
      </c>
      <c r="C29" s="51"/>
      <c r="D29" s="51"/>
      <c r="E29" s="51"/>
      <c r="F29" s="51"/>
      <c r="G29" s="51"/>
      <c r="H29" s="51"/>
      <c r="I29" s="51"/>
      <c r="J29" s="52"/>
      <c r="K29" s="52"/>
      <c r="L29" s="53" t="e">
        <f>Tabela3[[#This Row],[FALTAS JUSTIFICADAS (horas)]]/Tabela3[[#This Row],[HHT]]</f>
        <v>#DIV/0!</v>
      </c>
      <c r="M29" s="53" t="e">
        <f>Tabela3[[#This Row],[FALTAS INJUSTIFICDAS (horas)]]/Tabela3[[#This Row],[HHT]]</f>
        <v>#DIV/0!</v>
      </c>
      <c r="N29" s="53" t="e">
        <f>Tabela3[[#This Row],[QUANT. DE HORAS EXTRAS]]/Tabela3[[#This Row],[HHT]]</f>
        <v>#DIV/0!</v>
      </c>
      <c r="O29" s="53" t="e">
        <f>Tabela3[[#This Row],[HORAS DE TREINAMENTOS]]/Tabela3[[#This Row],[HHT]]</f>
        <v>#DIV/0!</v>
      </c>
      <c r="P29" s="54">
        <v>1.2E-2</v>
      </c>
      <c r="Q29" s="54">
        <v>1.4999999999999999E-2</v>
      </c>
      <c r="R29" s="55">
        <v>0.09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HA29" s="7"/>
      <c r="HB29" s="7"/>
      <c r="HC29" s="7"/>
      <c r="HD29" s="7"/>
      <c r="HE29" s="7"/>
      <c r="HF29" s="7"/>
      <c r="HG29" s="7"/>
      <c r="HH29" s="7"/>
      <c r="HI29" s="7"/>
    </row>
    <row r="30" spans="1:217" x14ac:dyDescent="0.25">
      <c r="A30" s="21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HA30" s="7"/>
      <c r="HB30" s="7"/>
      <c r="HC30" s="7"/>
      <c r="HD30" s="7"/>
      <c r="HE30" s="7"/>
      <c r="HF30" s="7"/>
      <c r="HG30" s="7"/>
      <c r="HH30" s="7"/>
      <c r="HI30" s="7"/>
    </row>
    <row r="31" spans="1:217" x14ac:dyDescent="0.25">
      <c r="A31" s="21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HA31" s="7"/>
      <c r="HB31" s="7"/>
      <c r="HC31" s="7"/>
      <c r="HD31" s="7"/>
      <c r="HE31" s="7"/>
      <c r="HF31" s="7"/>
      <c r="HG31" s="7"/>
      <c r="HH31" s="7"/>
      <c r="HI31" s="7"/>
    </row>
    <row r="32" spans="1:217" x14ac:dyDescent="0.25">
      <c r="A32" s="21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HA32" s="7"/>
      <c r="HB32" s="7"/>
      <c r="HC32" s="7"/>
      <c r="HD32" s="7"/>
      <c r="HE32" s="7"/>
      <c r="HF32" s="7"/>
      <c r="HG32" s="7"/>
      <c r="HH32" s="7"/>
      <c r="HI32" s="7"/>
    </row>
    <row r="33" spans="1:217" x14ac:dyDescent="0.25">
      <c r="A33" s="21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HA33" s="7"/>
      <c r="HB33" s="7"/>
      <c r="HC33" s="7"/>
      <c r="HD33" s="7"/>
      <c r="HE33" s="7"/>
      <c r="HF33" s="7"/>
      <c r="HG33" s="7"/>
      <c r="HH33" s="7"/>
      <c r="HI33" s="7"/>
    </row>
    <row r="34" spans="1:217" x14ac:dyDescent="0.25">
      <c r="A34" s="21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HA34" s="7"/>
      <c r="HB34" s="7"/>
      <c r="HC34" s="7"/>
      <c r="HD34" s="7"/>
      <c r="HE34" s="7"/>
      <c r="HF34" s="7"/>
      <c r="HG34" s="7"/>
      <c r="HH34" s="7"/>
      <c r="HI34" s="7"/>
    </row>
    <row r="35" spans="1:217" x14ac:dyDescent="0.25">
      <c r="A35" s="21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HA35" s="7"/>
      <c r="HB35" s="7"/>
      <c r="HC35" s="7"/>
      <c r="HD35" s="7"/>
      <c r="HE35" s="7"/>
      <c r="HF35" s="7"/>
      <c r="HG35" s="7"/>
      <c r="HH35" s="7"/>
      <c r="HI35" s="7"/>
    </row>
    <row r="36" spans="1:217" x14ac:dyDescent="0.25">
      <c r="A36" s="21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HA36" s="7"/>
      <c r="HB36" s="7"/>
      <c r="HC36" s="7"/>
      <c r="HD36" s="7"/>
      <c r="HE36" s="7"/>
      <c r="HF36" s="7"/>
      <c r="HG36" s="7"/>
      <c r="HH36" s="7"/>
      <c r="HI36" s="7"/>
    </row>
    <row r="37" spans="1:217" x14ac:dyDescent="0.25">
      <c r="A37" s="21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HA37" s="7"/>
      <c r="HB37" s="7"/>
      <c r="HC37" s="7"/>
      <c r="HD37" s="7"/>
      <c r="HE37" s="7"/>
      <c r="HF37" s="7"/>
      <c r="HG37" s="7"/>
      <c r="HH37" s="7"/>
      <c r="HI37" s="7"/>
    </row>
    <row r="38" spans="1:217" x14ac:dyDescent="0.25">
      <c r="A38" s="21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HA38" s="7"/>
      <c r="HB38" s="7"/>
      <c r="HC38" s="7"/>
      <c r="HD38" s="7"/>
      <c r="HE38" s="7"/>
      <c r="HF38" s="7"/>
      <c r="HG38" s="7"/>
      <c r="HH38" s="7"/>
      <c r="HI38" s="7"/>
    </row>
    <row r="39" spans="1:217" x14ac:dyDescent="0.25">
      <c r="A39" s="21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HA39" s="7"/>
      <c r="HB39" s="7"/>
      <c r="HC39" s="7"/>
      <c r="HD39" s="7"/>
      <c r="HE39" s="7"/>
      <c r="HF39" s="7"/>
      <c r="HG39" s="7"/>
      <c r="HH39" s="7"/>
      <c r="HI39" s="7"/>
    </row>
    <row r="40" spans="1:217" x14ac:dyDescent="0.25">
      <c r="A40" s="21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HA40" s="7"/>
      <c r="HB40" s="7"/>
      <c r="HC40" s="7"/>
      <c r="HD40" s="7"/>
      <c r="HE40" s="7"/>
      <c r="HF40" s="7"/>
      <c r="HG40" s="7"/>
      <c r="HH40" s="7"/>
      <c r="HI40" s="7"/>
    </row>
    <row r="41" spans="1:217" x14ac:dyDescent="0.25">
      <c r="A41" s="21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HA41" s="7"/>
      <c r="HB41" s="7"/>
      <c r="HC41" s="7"/>
      <c r="HD41" s="7"/>
      <c r="HE41" s="7"/>
      <c r="HF41" s="7"/>
      <c r="HG41" s="7"/>
      <c r="HH41" s="7"/>
      <c r="HI41" s="7"/>
    </row>
    <row r="42" spans="1:217" x14ac:dyDescent="0.25">
      <c r="A42" s="21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HA42" s="7"/>
      <c r="HB42" s="7"/>
      <c r="HC42" s="7"/>
      <c r="HD42" s="7"/>
      <c r="HE42" s="7"/>
      <c r="HF42" s="7"/>
      <c r="HG42" s="7"/>
      <c r="HH42" s="7"/>
      <c r="HI42" s="7"/>
    </row>
    <row r="43" spans="1:217" x14ac:dyDescent="0.25">
      <c r="A43" s="21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HA43" s="7"/>
      <c r="HB43" s="7"/>
      <c r="HC43" s="7"/>
      <c r="HD43" s="7"/>
      <c r="HE43" s="7"/>
      <c r="HF43" s="7"/>
      <c r="HG43" s="7"/>
      <c r="HH43" s="7"/>
      <c r="HI43" s="7"/>
    </row>
    <row r="44" spans="1:217" x14ac:dyDescent="0.25">
      <c r="A44" s="21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HA44" s="7"/>
      <c r="HB44" s="7"/>
      <c r="HC44" s="7"/>
      <c r="HD44" s="7"/>
      <c r="HE44" s="7"/>
      <c r="HF44" s="7"/>
      <c r="HG44" s="7"/>
      <c r="HH44" s="7"/>
      <c r="HI44" s="7"/>
    </row>
    <row r="45" spans="1:217" x14ac:dyDescent="0.25">
      <c r="A45" s="21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HA45" s="7"/>
      <c r="HB45" s="7"/>
      <c r="HC45" s="7"/>
      <c r="HD45" s="7"/>
      <c r="HE45" s="7"/>
      <c r="HF45" s="7"/>
      <c r="HG45" s="7"/>
      <c r="HH45" s="7"/>
      <c r="HI45" s="7"/>
    </row>
    <row r="46" spans="1:217" x14ac:dyDescent="0.25">
      <c r="A46" s="21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HA46" s="7"/>
      <c r="HB46" s="7"/>
      <c r="HC46" s="7"/>
      <c r="HD46" s="7"/>
      <c r="HE46" s="7"/>
      <c r="HF46" s="7"/>
      <c r="HG46" s="7"/>
      <c r="HH46" s="7"/>
      <c r="HI46" s="7"/>
    </row>
    <row r="47" spans="1:217" x14ac:dyDescent="0.25">
      <c r="A47" s="21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HA47" s="7"/>
      <c r="HB47" s="7"/>
      <c r="HC47" s="7"/>
      <c r="HD47" s="7"/>
      <c r="HE47" s="7"/>
      <c r="HF47" s="7"/>
      <c r="HG47" s="7"/>
      <c r="HH47" s="7"/>
      <c r="HI47" s="7"/>
    </row>
    <row r="48" spans="1:217" x14ac:dyDescent="0.25">
      <c r="A48" s="21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HA48" s="7"/>
      <c r="HB48" s="7"/>
      <c r="HC48" s="7"/>
      <c r="HD48" s="7"/>
      <c r="HE48" s="7"/>
      <c r="HF48" s="7"/>
      <c r="HG48" s="7"/>
      <c r="HH48" s="7"/>
      <c r="HI48" s="7"/>
    </row>
    <row r="49" spans="1:217" x14ac:dyDescent="0.25">
      <c r="A49" s="21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HA49" s="7"/>
      <c r="HB49" s="7"/>
      <c r="HC49" s="7"/>
      <c r="HD49" s="7"/>
      <c r="HE49" s="7"/>
      <c r="HF49" s="7"/>
      <c r="HG49" s="7"/>
      <c r="HH49" s="7"/>
      <c r="HI49" s="7"/>
    </row>
    <row r="50" spans="1:217" x14ac:dyDescent="0.25">
      <c r="A50" s="21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spans="1:217" x14ac:dyDescent="0.25">
      <c r="A51" s="21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spans="1:217" x14ac:dyDescent="0.25">
      <c r="A52" s="21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</row>
    <row r="53" spans="1:217" x14ac:dyDescent="0.25">
      <c r="A53" s="21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spans="1:217" x14ac:dyDescent="0.25">
      <c r="A54" s="21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spans="1:217" x14ac:dyDescent="0.25">
      <c r="A55" s="21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spans="1:217" x14ac:dyDescent="0.25">
      <c r="A56" s="21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</row>
    <row r="57" spans="1:217" x14ac:dyDescent="0.25">
      <c r="A57" s="21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spans="1:217" x14ac:dyDescent="0.25">
      <c r="A58" s="21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spans="1:217" x14ac:dyDescent="0.25">
      <c r="A59" s="21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spans="1:217" x14ac:dyDescent="0.25">
      <c r="A60" s="21"/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</row>
    <row r="61" spans="1:217" x14ac:dyDescent="0.25">
      <c r="A61" s="21"/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spans="1:217" x14ac:dyDescent="0.25">
      <c r="A62" s="21"/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spans="1:217" x14ac:dyDescent="0.25">
      <c r="A63" s="21"/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spans="1:217" x14ac:dyDescent="0.25">
      <c r="A64" s="21"/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</row>
    <row r="65" spans="1:32" x14ac:dyDescent="0.25">
      <c r="A65" s="21"/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x14ac:dyDescent="0.25">
      <c r="A66" s="21"/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x14ac:dyDescent="0.25">
      <c r="A67" s="21"/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x14ac:dyDescent="0.25">
      <c r="A68" s="21"/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 spans="1:32" x14ac:dyDescent="0.25">
      <c r="A69" s="21"/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spans="1:32" x14ac:dyDescent="0.25">
      <c r="A70" s="21"/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x14ac:dyDescent="0.25">
      <c r="A71" s="21"/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x14ac:dyDescent="0.25">
      <c r="A72" s="21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 spans="1:32" x14ac:dyDescent="0.25">
      <c r="A73" s="21"/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spans="1:32" x14ac:dyDescent="0.25">
      <c r="A74" s="21"/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spans="1:32" x14ac:dyDescent="0.25">
      <c r="A75" s="21"/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spans="1:32" x14ac:dyDescent="0.25">
      <c r="A76" s="21"/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 spans="1:32" x14ac:dyDescent="0.25">
      <c r="A77" s="21"/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</row>
    <row r="78" spans="1:32" x14ac:dyDescent="0.25">
      <c r="A78" s="21"/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 spans="1:32" x14ac:dyDescent="0.25">
      <c r="A79" s="21"/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 spans="1:32" x14ac:dyDescent="0.25">
      <c r="A80" s="21"/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 spans="1:32" x14ac:dyDescent="0.25">
      <c r="A81" s="21"/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spans="1:32" x14ac:dyDescent="0.25">
      <c r="A82" s="21"/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</row>
    <row r="83" spans="1:32" x14ac:dyDescent="0.25">
      <c r="A83" s="21"/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</row>
    <row r="84" spans="1:32" x14ac:dyDescent="0.25">
      <c r="A84" s="21"/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</row>
    <row r="85" spans="1:32" x14ac:dyDescent="0.25">
      <c r="A85" s="21"/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 spans="1:32" x14ac:dyDescent="0.25">
      <c r="A86" s="21"/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 spans="1:32" x14ac:dyDescent="0.25">
      <c r="A87" s="21"/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</row>
    <row r="88" spans="1:32" x14ac:dyDescent="0.25">
      <c r="A88" s="21"/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</row>
    <row r="89" spans="1:32" x14ac:dyDescent="0.25">
      <c r="A89" s="21"/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</row>
    <row r="90" spans="1:32" x14ac:dyDescent="0.25">
      <c r="A90" s="21"/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</row>
    <row r="91" spans="1:32" x14ac:dyDescent="0.25">
      <c r="A91" s="21"/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</row>
    <row r="92" spans="1:32" x14ac:dyDescent="0.25">
      <c r="A92" s="21"/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 spans="1:32" x14ac:dyDescent="0.25">
      <c r="A93" s="21"/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</row>
    <row r="94" spans="1:32" x14ac:dyDescent="0.25">
      <c r="A94" s="21"/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 spans="1:32" x14ac:dyDescent="0.25">
      <c r="A95" s="21"/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</row>
    <row r="96" spans="1:32" x14ac:dyDescent="0.25">
      <c r="A96" s="21"/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</row>
    <row r="97" spans="1:32" x14ac:dyDescent="0.25">
      <c r="A97" s="21"/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</row>
    <row r="98" spans="1:32" x14ac:dyDescent="0.25">
      <c r="A98" s="21"/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 spans="1:32" x14ac:dyDescent="0.25">
      <c r="A99" s="21"/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spans="1:32" x14ac:dyDescent="0.25">
      <c r="A100" s="21"/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</row>
    <row r="101" spans="1:32" x14ac:dyDescent="0.25">
      <c r="A101" s="21"/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</row>
    <row r="102" spans="1:32" x14ac:dyDescent="0.25">
      <c r="A102" s="21"/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 spans="1:32" x14ac:dyDescent="0.25">
      <c r="A103" s="21"/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 spans="1:32" x14ac:dyDescent="0.25">
      <c r="A104" s="21"/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</row>
    <row r="105" spans="1:32" x14ac:dyDescent="0.25">
      <c r="A105" s="21"/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 spans="1:32" x14ac:dyDescent="0.25">
      <c r="A106" s="21"/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</row>
    <row r="107" spans="1:32" x14ac:dyDescent="0.25">
      <c r="A107" s="21"/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</row>
    <row r="108" spans="1:32" x14ac:dyDescent="0.25">
      <c r="A108" s="21"/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</row>
    <row r="109" spans="1:32" x14ac:dyDescent="0.25">
      <c r="A109" s="21"/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</row>
    <row r="110" spans="1:32" x14ac:dyDescent="0.25">
      <c r="A110" s="21"/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</row>
    <row r="111" spans="1:32" x14ac:dyDescent="0.25">
      <c r="A111" s="21"/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</row>
    <row r="112" spans="1:32" x14ac:dyDescent="0.25">
      <c r="A112" s="21"/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</row>
    <row r="113" spans="1:32" x14ac:dyDescent="0.25">
      <c r="A113" s="21"/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</row>
    <row r="114" spans="1:32" x14ac:dyDescent="0.25">
      <c r="A114" s="21"/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</row>
    <row r="115" spans="1:32" x14ac:dyDescent="0.25">
      <c r="A115" s="21"/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</row>
    <row r="116" spans="1:32" x14ac:dyDescent="0.25">
      <c r="A116" s="21"/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</row>
    <row r="117" spans="1:32" x14ac:dyDescent="0.25">
      <c r="A117" s="21"/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 spans="1:32" x14ac:dyDescent="0.25">
      <c r="A118" s="21"/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</row>
    <row r="119" spans="1:32" x14ac:dyDescent="0.25">
      <c r="A119" s="21"/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</row>
    <row r="120" spans="1:32" x14ac:dyDescent="0.25">
      <c r="A120" s="21"/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</row>
    <row r="121" spans="1:32" x14ac:dyDescent="0.25">
      <c r="A121" s="21"/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</row>
    <row r="122" spans="1:32" x14ac:dyDescent="0.25">
      <c r="A122" s="21"/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</row>
    <row r="123" spans="1:32" x14ac:dyDescent="0.25">
      <c r="A123" s="21"/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</row>
    <row r="124" spans="1:32" x14ac:dyDescent="0.25">
      <c r="A124" s="21"/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</row>
    <row r="125" spans="1:32" x14ac:dyDescent="0.25">
      <c r="A125" s="21"/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</row>
    <row r="126" spans="1:32" x14ac:dyDescent="0.25">
      <c r="A126" s="21"/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</row>
    <row r="127" spans="1:32" x14ac:dyDescent="0.25">
      <c r="A127" s="21"/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spans="1:32" x14ac:dyDescent="0.25">
      <c r="A128" s="21"/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</row>
    <row r="129" spans="1:32" x14ac:dyDescent="0.25">
      <c r="A129" s="21"/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</row>
    <row r="130" spans="1:32" x14ac:dyDescent="0.25">
      <c r="A130" s="21"/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</row>
    <row r="131" spans="1:32" x14ac:dyDescent="0.25">
      <c r="A131" s="21"/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 spans="1:32" x14ac:dyDescent="0.25">
      <c r="A132" s="21"/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</row>
    <row r="133" spans="1:32" x14ac:dyDescent="0.25">
      <c r="A133" s="21"/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</row>
    <row r="134" spans="1:32" x14ac:dyDescent="0.25">
      <c r="A134" s="21"/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</row>
    <row r="135" spans="1:32" x14ac:dyDescent="0.25">
      <c r="A135" s="21"/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 spans="1:32" x14ac:dyDescent="0.25">
      <c r="A136" s="21"/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</row>
    <row r="137" spans="1:32" x14ac:dyDescent="0.25">
      <c r="A137" s="21"/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</row>
    <row r="138" spans="1:32" x14ac:dyDescent="0.25">
      <c r="A138" s="21"/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</row>
    <row r="139" spans="1:32" x14ac:dyDescent="0.25">
      <c r="I139"/>
      <c r="J139"/>
      <c r="K139"/>
    </row>
    <row r="140" spans="1:32" x14ac:dyDescent="0.25">
      <c r="I140"/>
      <c r="J140"/>
      <c r="K140"/>
    </row>
    <row r="141" spans="1:32" x14ac:dyDescent="0.25">
      <c r="I141"/>
      <c r="J141"/>
      <c r="K141"/>
    </row>
    <row r="142" spans="1:32" x14ac:dyDescent="0.25">
      <c r="I142"/>
      <c r="J142"/>
      <c r="K142"/>
    </row>
    <row r="143" spans="1:32" x14ac:dyDescent="0.25">
      <c r="I143"/>
      <c r="J143"/>
      <c r="K143"/>
    </row>
    <row r="144" spans="1:32" x14ac:dyDescent="0.25">
      <c r="I144"/>
      <c r="J144"/>
      <c r="K144"/>
    </row>
    <row r="145" spans="9:11" x14ac:dyDescent="0.25">
      <c r="I145"/>
      <c r="J145"/>
      <c r="K145"/>
    </row>
    <row r="146" spans="9:11" x14ac:dyDescent="0.25">
      <c r="I146"/>
      <c r="J146"/>
      <c r="K146"/>
    </row>
    <row r="147" spans="9:11" x14ac:dyDescent="0.25">
      <c r="I147"/>
      <c r="J147"/>
      <c r="K147"/>
    </row>
    <row r="148" spans="9:11" x14ac:dyDescent="0.25">
      <c r="I148"/>
      <c r="J148"/>
      <c r="K148"/>
    </row>
    <row r="149" spans="9:11" x14ac:dyDescent="0.25">
      <c r="I149"/>
      <c r="J149"/>
      <c r="K149"/>
    </row>
    <row r="150" spans="9:11" x14ac:dyDescent="0.25">
      <c r="I150"/>
      <c r="J150"/>
      <c r="K150"/>
    </row>
    <row r="151" spans="9:11" x14ac:dyDescent="0.25">
      <c r="I151"/>
      <c r="J151"/>
      <c r="K151"/>
    </row>
    <row r="152" spans="9:11" x14ac:dyDescent="0.25">
      <c r="I152"/>
      <c r="J152"/>
      <c r="K152"/>
    </row>
    <row r="153" spans="9:11" x14ac:dyDescent="0.25">
      <c r="I153"/>
      <c r="J153"/>
      <c r="K153"/>
    </row>
    <row r="154" spans="9:11" x14ac:dyDescent="0.25">
      <c r="I154"/>
      <c r="J154"/>
      <c r="K154"/>
    </row>
    <row r="155" spans="9:11" x14ac:dyDescent="0.25">
      <c r="I155"/>
      <c r="J155"/>
      <c r="K155"/>
    </row>
    <row r="156" spans="9:11" x14ac:dyDescent="0.25">
      <c r="I156"/>
      <c r="J156"/>
      <c r="K156"/>
    </row>
    <row r="157" spans="9:11" x14ac:dyDescent="0.25">
      <c r="I157"/>
      <c r="J157"/>
      <c r="K157"/>
    </row>
    <row r="158" spans="9:11" x14ac:dyDescent="0.25">
      <c r="I158"/>
      <c r="J158"/>
      <c r="K158"/>
    </row>
    <row r="159" spans="9:11" x14ac:dyDescent="0.25">
      <c r="I159"/>
      <c r="J159"/>
      <c r="K159"/>
    </row>
    <row r="160" spans="9:11" x14ac:dyDescent="0.25">
      <c r="I160"/>
      <c r="J160"/>
      <c r="K160"/>
    </row>
    <row r="161" spans="9:11" x14ac:dyDescent="0.25">
      <c r="I161"/>
      <c r="J161"/>
      <c r="K161"/>
    </row>
    <row r="162" spans="9:11" x14ac:dyDescent="0.25">
      <c r="I162"/>
      <c r="J162"/>
      <c r="K162"/>
    </row>
    <row r="163" spans="9:11" x14ac:dyDescent="0.25">
      <c r="I163"/>
      <c r="J163"/>
      <c r="K163"/>
    </row>
    <row r="164" spans="9:11" x14ac:dyDescent="0.25">
      <c r="I164"/>
      <c r="J164"/>
      <c r="K164"/>
    </row>
    <row r="165" spans="9:11" x14ac:dyDescent="0.25">
      <c r="I165"/>
      <c r="J165"/>
      <c r="K165"/>
    </row>
    <row r="166" spans="9:11" x14ac:dyDescent="0.25">
      <c r="I166"/>
      <c r="J166"/>
      <c r="K166"/>
    </row>
    <row r="167" spans="9:11" x14ac:dyDescent="0.25">
      <c r="I167"/>
      <c r="J167"/>
      <c r="K167"/>
    </row>
    <row r="168" spans="9:11" x14ac:dyDescent="0.25">
      <c r="I168"/>
      <c r="J168"/>
      <c r="K168"/>
    </row>
    <row r="169" spans="9:11" x14ac:dyDescent="0.25">
      <c r="I169"/>
      <c r="J169"/>
      <c r="K169"/>
    </row>
    <row r="170" spans="9:11" x14ac:dyDescent="0.25">
      <c r="I170"/>
      <c r="J170"/>
      <c r="K170"/>
    </row>
    <row r="171" spans="9:11" x14ac:dyDescent="0.25">
      <c r="I171"/>
      <c r="J171"/>
      <c r="K171"/>
    </row>
    <row r="172" spans="9:11" x14ac:dyDescent="0.25">
      <c r="I172"/>
      <c r="J172"/>
      <c r="K172"/>
    </row>
    <row r="173" spans="9:11" x14ac:dyDescent="0.25">
      <c r="I173"/>
      <c r="J173"/>
      <c r="K173"/>
    </row>
    <row r="174" spans="9:11" x14ac:dyDescent="0.25">
      <c r="I174"/>
      <c r="J174"/>
      <c r="K174"/>
    </row>
    <row r="175" spans="9:11" x14ac:dyDescent="0.25">
      <c r="I175"/>
      <c r="J175"/>
      <c r="K175"/>
    </row>
    <row r="176" spans="9:11" x14ac:dyDescent="0.25">
      <c r="I176"/>
      <c r="J176"/>
      <c r="K176"/>
    </row>
    <row r="177" spans="9:11" x14ac:dyDescent="0.25">
      <c r="I177"/>
      <c r="J177"/>
      <c r="K177"/>
    </row>
    <row r="178" spans="9:11" x14ac:dyDescent="0.25">
      <c r="I178"/>
      <c r="J178"/>
      <c r="K178"/>
    </row>
    <row r="179" spans="9:11" x14ac:dyDescent="0.25">
      <c r="I179"/>
      <c r="J179"/>
      <c r="K179"/>
    </row>
    <row r="180" spans="9:11" x14ac:dyDescent="0.25">
      <c r="I180"/>
      <c r="J180"/>
      <c r="K180"/>
    </row>
    <row r="181" spans="9:11" x14ac:dyDescent="0.25">
      <c r="I181"/>
      <c r="J181"/>
      <c r="K181"/>
    </row>
    <row r="182" spans="9:11" x14ac:dyDescent="0.25">
      <c r="I182"/>
      <c r="J182"/>
      <c r="K182"/>
    </row>
    <row r="183" spans="9:11" x14ac:dyDescent="0.25">
      <c r="I183"/>
      <c r="J183"/>
      <c r="K183"/>
    </row>
    <row r="184" spans="9:11" x14ac:dyDescent="0.25">
      <c r="I184"/>
      <c r="J184"/>
      <c r="K184"/>
    </row>
    <row r="185" spans="9:11" x14ac:dyDescent="0.25">
      <c r="I185"/>
      <c r="J185"/>
      <c r="K185"/>
    </row>
    <row r="186" spans="9:11" x14ac:dyDescent="0.25">
      <c r="I186"/>
      <c r="J186"/>
      <c r="K186"/>
    </row>
    <row r="187" spans="9:11" x14ac:dyDescent="0.25">
      <c r="I187"/>
      <c r="J187"/>
      <c r="K187"/>
    </row>
    <row r="188" spans="9:11" x14ac:dyDescent="0.25">
      <c r="I188"/>
      <c r="J188"/>
      <c r="K188"/>
    </row>
    <row r="189" spans="9:11" x14ac:dyDescent="0.25">
      <c r="I189"/>
      <c r="J189"/>
      <c r="K189"/>
    </row>
    <row r="190" spans="9:11" x14ac:dyDescent="0.25">
      <c r="I190"/>
      <c r="J190"/>
      <c r="K190"/>
    </row>
    <row r="191" spans="9:11" x14ac:dyDescent="0.25">
      <c r="I191"/>
      <c r="J191"/>
      <c r="K191"/>
    </row>
    <row r="192" spans="9:11" x14ac:dyDescent="0.25">
      <c r="I192"/>
      <c r="J192"/>
      <c r="K192"/>
    </row>
    <row r="193" spans="9:11" x14ac:dyDescent="0.25">
      <c r="I193"/>
      <c r="J193"/>
      <c r="K193"/>
    </row>
    <row r="194" spans="9:11" x14ac:dyDescent="0.25">
      <c r="I194"/>
      <c r="J194"/>
      <c r="K194"/>
    </row>
    <row r="195" spans="9:11" x14ac:dyDescent="0.25">
      <c r="I195"/>
      <c r="J195"/>
      <c r="K195"/>
    </row>
    <row r="196" spans="9:11" x14ac:dyDescent="0.25">
      <c r="I196"/>
      <c r="J196"/>
      <c r="K196"/>
    </row>
    <row r="197" spans="9:11" x14ac:dyDescent="0.25">
      <c r="I197"/>
      <c r="J197"/>
      <c r="K197"/>
    </row>
    <row r="198" spans="9:11" x14ac:dyDescent="0.25">
      <c r="I198"/>
      <c r="J198"/>
      <c r="K198"/>
    </row>
    <row r="199" spans="9:11" x14ac:dyDescent="0.25">
      <c r="I199"/>
      <c r="J199"/>
      <c r="K199"/>
    </row>
    <row r="200" spans="9:11" x14ac:dyDescent="0.25">
      <c r="I200"/>
      <c r="J200"/>
      <c r="K200"/>
    </row>
    <row r="201" spans="9:11" x14ac:dyDescent="0.25">
      <c r="I201"/>
      <c r="J201"/>
      <c r="K201"/>
    </row>
    <row r="202" spans="9:11" x14ac:dyDescent="0.25">
      <c r="I202"/>
      <c r="J202"/>
      <c r="K202"/>
    </row>
    <row r="203" spans="9:11" x14ac:dyDescent="0.25">
      <c r="I203"/>
      <c r="J203"/>
      <c r="K203"/>
    </row>
    <row r="204" spans="9:11" x14ac:dyDescent="0.25">
      <c r="I204"/>
      <c r="J204"/>
      <c r="K204"/>
    </row>
    <row r="205" spans="9:11" x14ac:dyDescent="0.25">
      <c r="I205"/>
      <c r="J205"/>
      <c r="K205"/>
    </row>
    <row r="206" spans="9:11" x14ac:dyDescent="0.25">
      <c r="I206"/>
      <c r="J206"/>
      <c r="K206"/>
    </row>
    <row r="207" spans="9:11" x14ac:dyDescent="0.25">
      <c r="I207"/>
      <c r="J207"/>
      <c r="K207"/>
    </row>
    <row r="208" spans="9:11" x14ac:dyDescent="0.25">
      <c r="I208"/>
      <c r="J208"/>
      <c r="K208"/>
    </row>
    <row r="209" spans="9:11" x14ac:dyDescent="0.25">
      <c r="I209"/>
      <c r="J209"/>
      <c r="K209"/>
    </row>
    <row r="210" spans="9:11" x14ac:dyDescent="0.25">
      <c r="I210"/>
      <c r="J210"/>
      <c r="K210"/>
    </row>
    <row r="211" spans="9:11" x14ac:dyDescent="0.25">
      <c r="I211"/>
      <c r="J211"/>
      <c r="K211"/>
    </row>
    <row r="212" spans="9:11" x14ac:dyDescent="0.25">
      <c r="I212"/>
      <c r="J212"/>
      <c r="K212"/>
    </row>
    <row r="213" spans="9:11" x14ac:dyDescent="0.25">
      <c r="I213"/>
      <c r="J213"/>
      <c r="K213"/>
    </row>
  </sheetData>
  <mergeCells count="1">
    <mergeCell ref="A1:R3"/>
  </mergeCells>
  <phoneticPr fontId="1" type="noConversion"/>
  <conditionalFormatting sqref="M5:M29">
    <cfRule type="cellIs" dxfId="71" priority="1" operator="lessThan">
      <formula>0.015</formula>
    </cfRule>
    <cfRule type="cellIs" dxfId="70" priority="2" operator="greaterThan">
      <formula>0.015</formula>
    </cfRule>
    <cfRule type="cellIs" dxfId="69" priority="4" operator="greaterThan">
      <formula>0.015</formula>
    </cfRule>
    <cfRule type="cellIs" dxfId="68" priority="5" operator="greaterThan">
      <formula>"1;60%"</formula>
    </cfRule>
    <cfRule type="cellIs" dxfId="67" priority="6" operator="lessThan">
      <formula>0.015</formula>
    </cfRule>
  </conditionalFormatting>
  <conditionalFormatting sqref="O5:O29">
    <cfRule type="cellIs" dxfId="66" priority="3" operator="lessThan">
      <formula>0.06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C4 L5:N28 A7:I11 A5:B5 F5:I5 A6:C6 E6:I6 F4:I4 A28:B28 A19:B19 A20:B20 A21:B21 A22:B22 A23:B23 A24:B24 A25:B25 A26:B26 A27:B27 A17:B18 A12:B12 A16:B16 A13:B13 A14:B14 A15:B15" evalError="1"/>
  </ignoredError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8"/>
  <sheetViews>
    <sheetView topLeftCell="N10" zoomScale="50" zoomScaleNormal="50" zoomScaleSheetLayoutView="50" zoomScalePageLayoutView="90" workbookViewId="0">
      <selection activeCell="B1" sqref="B1:AQ3"/>
    </sheetView>
  </sheetViews>
  <sheetFormatPr defaultRowHeight="15" x14ac:dyDescent="0.25"/>
  <cols>
    <col min="1" max="1" width="18" bestFit="1" customWidth="1"/>
  </cols>
  <sheetData>
    <row r="1" spans="1:63" s="14" customFormat="1" ht="27.75" customHeight="1" x14ac:dyDescent="0.25">
      <c r="A1" s="22"/>
      <c r="B1" s="98" t="s">
        <v>28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</row>
    <row r="2" spans="1:63" s="14" customFormat="1" ht="27.75" customHeight="1" x14ac:dyDescent="0.25">
      <c r="A2" s="22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</row>
    <row r="3" spans="1:63" s="14" customFormat="1" ht="27.75" customHeight="1" x14ac:dyDescent="0.25">
      <c r="A3" s="22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</row>
    <row r="4" spans="1:63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</row>
    <row r="5" spans="1:6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</row>
    <row r="6" spans="1:63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</row>
    <row r="7" spans="1:63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</row>
    <row r="8" spans="1:63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</row>
    <row r="9" spans="1:63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</row>
    <row r="10" spans="1:63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</row>
    <row r="11" spans="1:63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</row>
    <row r="12" spans="1:63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</row>
    <row r="13" spans="1:63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</row>
    <row r="14" spans="1:63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</row>
    <row r="15" spans="1:63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</row>
    <row r="16" spans="1:63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</row>
    <row r="17" spans="1:63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</row>
    <row r="18" spans="1:63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</row>
    <row r="19" spans="1:63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</row>
    <row r="20" spans="1:63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</row>
    <row r="21" spans="1:63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</row>
    <row r="22" spans="1:63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</row>
    <row r="23" spans="1:63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</row>
    <row r="24" spans="1:63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</row>
    <row r="25" spans="1:63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</row>
    <row r="26" spans="1:63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</row>
    <row r="27" spans="1:63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</row>
    <row r="28" spans="1:63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</row>
    <row r="29" spans="1:63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</row>
    <row r="30" spans="1:63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</row>
    <row r="31" spans="1:63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</row>
    <row r="32" spans="1:63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</row>
    <row r="33" spans="1:63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</row>
    <row r="34" spans="1:63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</row>
    <row r="35" spans="1:63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</row>
    <row r="36" spans="1:63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</row>
    <row r="37" spans="1:63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</row>
    <row r="38" spans="1:63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</row>
    <row r="39" spans="1:63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</row>
    <row r="40" spans="1:63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</row>
    <row r="41" spans="1:63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</row>
    <row r="42" spans="1:63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</row>
    <row r="43" spans="1:63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</row>
    <row r="44" spans="1:63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</row>
    <row r="45" spans="1:63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</row>
    <row r="46" spans="1:63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</row>
    <row r="47" spans="1:63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</row>
    <row r="48" spans="1:63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</row>
    <row r="49" spans="1:63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</row>
    <row r="50" spans="1:63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</row>
    <row r="51" spans="1:63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</row>
    <row r="52" spans="1:63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</row>
    <row r="53" spans="1:63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</row>
    <row r="54" spans="1:63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</row>
    <row r="55" spans="1:63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</row>
    <row r="56" spans="1:63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</row>
    <row r="57" spans="1:63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</row>
    <row r="58" spans="1:63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</row>
    <row r="59" spans="1:63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</row>
    <row r="60" spans="1:63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</row>
    <row r="61" spans="1:63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</row>
    <row r="62" spans="1:63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</row>
    <row r="63" spans="1:63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</row>
    <row r="64" spans="1:63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</row>
    <row r="65" spans="1:63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</row>
    <row r="66" spans="1:63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</row>
    <row r="67" spans="1:63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</row>
    <row r="68" spans="1:63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</row>
    <row r="69" spans="1:63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</row>
    <row r="70" spans="1:63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</row>
    <row r="71" spans="1:63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</row>
    <row r="72" spans="1:63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</row>
    <row r="73" spans="1:63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</row>
    <row r="74" spans="1:63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</row>
    <row r="75" spans="1:63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</row>
    <row r="76" spans="1:63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</row>
    <row r="77" spans="1:63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</row>
    <row r="78" spans="1:63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</row>
    <row r="79" spans="1:63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</row>
    <row r="80" spans="1:63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</row>
    <row r="81" spans="1:63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</row>
    <row r="82" spans="1:63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</row>
    <row r="83" spans="1:63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</row>
    <row r="84" spans="1:63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</row>
    <row r="85" spans="1:63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</row>
    <row r="86" spans="1:63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</row>
    <row r="87" spans="1:63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</row>
    <row r="88" spans="1:63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</row>
    <row r="89" spans="1:63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</row>
    <row r="90" spans="1:63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</row>
    <row r="91" spans="1:63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</row>
    <row r="92" spans="1:63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</row>
    <row r="93" spans="1:63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</row>
    <row r="94" spans="1:63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</row>
    <row r="95" spans="1:63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</row>
    <row r="96" spans="1:63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</row>
    <row r="97" spans="1:63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</row>
    <row r="98" spans="1:63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</row>
    <row r="99" spans="1:63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</row>
    <row r="100" spans="1:63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</row>
    <row r="101" spans="1:63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</row>
    <row r="102" spans="1:63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</row>
    <row r="103" spans="1:63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</row>
    <row r="104" spans="1:63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</row>
    <row r="105" spans="1:63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</row>
    <row r="106" spans="1:63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</row>
    <row r="107" spans="1:63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</row>
    <row r="108" spans="1:63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</row>
    <row r="109" spans="1:63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</row>
    <row r="110" spans="1:63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</row>
    <row r="111" spans="1:63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</row>
    <row r="112" spans="1:63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</row>
    <row r="113" spans="1:30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spans="1:30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spans="1:30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spans="1:30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spans="1:30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spans="1:30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spans="1:30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spans="1:30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spans="1:30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spans="1:30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spans="1:30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spans="1:30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spans="1:30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spans="1:30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spans="1:30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spans="1:30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spans="1:30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spans="1:30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spans="1:30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spans="1:30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spans="1:30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spans="1:30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spans="1:30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spans="1:30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spans="1:30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spans="1:30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spans="1:30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spans="1:30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spans="1:30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spans="1:30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spans="1:30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spans="1:30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spans="1:30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spans="1:30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spans="1:30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spans="1:30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spans="1:30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spans="1:30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spans="1:30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spans="1:30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spans="1:30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spans="1:30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spans="1:30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spans="1:30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spans="1:30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spans="1:30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spans="1:30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spans="1:30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spans="1:30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spans="1:30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spans="1:30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spans="1:30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spans="1:30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spans="1:30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spans="1:30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spans="1:30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spans="1:30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spans="1:30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spans="1:30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spans="1:30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spans="1:30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spans="1:30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spans="1:30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spans="1:30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spans="1:30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spans="1:30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spans="1:30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spans="1:30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spans="1:30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spans="1:30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spans="1:30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spans="1:30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spans="1:30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spans="1:30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spans="1:30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spans="1:30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spans="1:30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spans="1:30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 spans="1:30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 spans="1:30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 spans="1:30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 spans="1:30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 spans="1:30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 spans="1:30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 spans="1:30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 spans="1:30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 spans="1:30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 spans="1:30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 spans="1:30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 spans="1:30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 spans="1:30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 spans="1:30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 spans="1:30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 spans="1:30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 spans="1:30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 spans="1:30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 spans="1:30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 spans="1:30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 spans="1:30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 spans="1:30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 spans="1:30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 spans="1:30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 spans="1:30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 spans="1:30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 spans="1:30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 spans="1:30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 spans="1:30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 spans="1:30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 spans="1:30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 spans="1:30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 spans="1:30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 spans="1:30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 spans="1:30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 spans="1:30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 spans="1:30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spans="1:30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spans="1:30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spans="1:30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spans="1:30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spans="1:30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spans="1:30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spans="1:30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spans="1:30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spans="1:30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spans="1:30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spans="1:30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spans="1:30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spans="1:30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spans="1:30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spans="1:30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spans="1:30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spans="1:30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spans="1:30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spans="1:30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</sheetData>
  <mergeCells count="1">
    <mergeCell ref="B1:AQ3"/>
  </mergeCells>
  <pageMargins left="0.511811024" right="0.511811024" top="0.78740157499999996" bottom="0.78740157499999996" header="0.31496062000000002" footer="0.31496062000000002"/>
  <pageSetup paperSize="9" scale="95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topLeftCell="A10" zoomScale="85" zoomScaleNormal="85" workbookViewId="0">
      <selection activeCell="A41" sqref="A41"/>
    </sheetView>
  </sheetViews>
  <sheetFormatPr defaultRowHeight="15" x14ac:dyDescent="0.25"/>
  <cols>
    <col min="1" max="1" width="51.85546875" customWidth="1"/>
    <col min="2" max="21" width="14.140625" customWidth="1"/>
    <col min="22" max="22" width="18.28515625" style="5" bestFit="1" customWidth="1"/>
    <col min="23" max="23" width="25.7109375" customWidth="1"/>
  </cols>
  <sheetData>
    <row r="1" spans="1:22" s="61" customFormat="1" ht="15.75" x14ac:dyDescent="0.25">
      <c r="A1" s="66" t="s">
        <v>19</v>
      </c>
      <c r="B1" s="67">
        <v>46027</v>
      </c>
      <c r="C1" s="67">
        <v>46027</v>
      </c>
      <c r="D1" s="67">
        <v>46030</v>
      </c>
      <c r="E1" s="67">
        <v>46034</v>
      </c>
      <c r="F1" s="67">
        <v>46035</v>
      </c>
      <c r="G1" s="67">
        <v>46035</v>
      </c>
      <c r="H1" s="67">
        <v>46035</v>
      </c>
      <c r="I1" s="67">
        <v>46041</v>
      </c>
      <c r="J1" s="67">
        <v>46041</v>
      </c>
      <c r="K1" s="67">
        <v>46041</v>
      </c>
      <c r="L1" s="67">
        <v>46042</v>
      </c>
      <c r="M1" s="67">
        <v>46041</v>
      </c>
      <c r="N1" s="66" t="s">
        <v>25</v>
      </c>
      <c r="O1" s="66" t="s">
        <v>25</v>
      </c>
    </row>
    <row r="2" spans="1:22" ht="15.75" x14ac:dyDescent="0.25">
      <c r="A2" s="68" t="s">
        <v>73</v>
      </c>
      <c r="B2" s="69">
        <v>1</v>
      </c>
      <c r="C2" s="69">
        <v>1</v>
      </c>
      <c r="D2" s="69"/>
      <c r="E2" s="69">
        <v>1</v>
      </c>
      <c r="F2" s="69"/>
      <c r="G2" s="69"/>
      <c r="H2" s="69"/>
      <c r="I2" s="69">
        <v>1</v>
      </c>
      <c r="J2" s="69"/>
      <c r="K2" s="69">
        <v>1</v>
      </c>
      <c r="L2" s="69"/>
      <c r="M2" s="69">
        <v>1</v>
      </c>
      <c r="N2" s="70">
        <f t="shared" ref="N2:N49" si="0">SUM(B2:M2)</f>
        <v>6</v>
      </c>
      <c r="O2" s="71">
        <f>COUNTA(B1:M1)</f>
        <v>12</v>
      </c>
      <c r="V2"/>
    </row>
    <row r="3" spans="1:22" ht="15.75" x14ac:dyDescent="0.25">
      <c r="A3" s="68" t="s">
        <v>74</v>
      </c>
      <c r="B3" s="69">
        <v>1</v>
      </c>
      <c r="C3" s="69"/>
      <c r="D3" s="69"/>
      <c r="E3" s="69">
        <v>1</v>
      </c>
      <c r="F3" s="69"/>
      <c r="G3" s="69"/>
      <c r="H3" s="69"/>
      <c r="I3" s="69">
        <v>1</v>
      </c>
      <c r="J3" s="69"/>
      <c r="K3" s="69">
        <v>1</v>
      </c>
      <c r="L3" s="69">
        <v>0.5</v>
      </c>
      <c r="M3" s="69">
        <v>1</v>
      </c>
      <c r="N3" s="70">
        <f t="shared" si="0"/>
        <v>5.5</v>
      </c>
      <c r="V3"/>
    </row>
    <row r="4" spans="1:22" ht="15.75" x14ac:dyDescent="0.25">
      <c r="A4" s="68" t="s">
        <v>75</v>
      </c>
      <c r="B4" s="69">
        <v>1</v>
      </c>
      <c r="C4" s="69"/>
      <c r="D4" s="69">
        <v>1</v>
      </c>
      <c r="E4" s="69">
        <v>1</v>
      </c>
      <c r="F4" s="69"/>
      <c r="G4" s="69"/>
      <c r="H4" s="69"/>
      <c r="I4" s="69">
        <v>1</v>
      </c>
      <c r="J4" s="69"/>
      <c r="K4" s="69">
        <v>1</v>
      </c>
      <c r="L4" s="69"/>
      <c r="M4" s="69">
        <v>1</v>
      </c>
      <c r="N4" s="70">
        <f t="shared" si="0"/>
        <v>6</v>
      </c>
      <c r="V4"/>
    </row>
    <row r="5" spans="1:22" ht="15.75" x14ac:dyDescent="0.25">
      <c r="A5" s="68" t="s">
        <v>64</v>
      </c>
      <c r="B5" s="69">
        <v>1</v>
      </c>
      <c r="C5" s="69"/>
      <c r="D5" s="69"/>
      <c r="E5" s="69">
        <v>1</v>
      </c>
      <c r="F5" s="69">
        <v>0.5</v>
      </c>
      <c r="G5" s="69">
        <v>0.5</v>
      </c>
      <c r="H5" s="69"/>
      <c r="I5" s="69">
        <v>1</v>
      </c>
      <c r="J5" s="69"/>
      <c r="K5" s="69">
        <v>1</v>
      </c>
      <c r="L5" s="69"/>
      <c r="M5" s="69">
        <v>1</v>
      </c>
      <c r="N5" s="70">
        <f t="shared" si="0"/>
        <v>6</v>
      </c>
      <c r="V5"/>
    </row>
    <row r="6" spans="1:22" ht="15.75" x14ac:dyDescent="0.25">
      <c r="A6" s="68" t="s">
        <v>66</v>
      </c>
      <c r="B6" s="69">
        <v>1</v>
      </c>
      <c r="C6" s="69"/>
      <c r="D6" s="69"/>
      <c r="E6" s="69">
        <v>1</v>
      </c>
      <c r="F6" s="69"/>
      <c r="G6" s="69"/>
      <c r="H6" s="69"/>
      <c r="I6" s="69">
        <v>1</v>
      </c>
      <c r="J6" s="69"/>
      <c r="K6" s="69">
        <v>1</v>
      </c>
      <c r="L6" s="69"/>
      <c r="M6" s="69">
        <v>1</v>
      </c>
      <c r="N6" s="70">
        <f t="shared" si="0"/>
        <v>5</v>
      </c>
      <c r="V6"/>
    </row>
    <row r="7" spans="1:22" ht="15.75" x14ac:dyDescent="0.25">
      <c r="A7" s="68" t="s">
        <v>50</v>
      </c>
      <c r="B7" s="69">
        <v>1</v>
      </c>
      <c r="C7" s="69"/>
      <c r="D7" s="69"/>
      <c r="E7" s="69">
        <v>1</v>
      </c>
      <c r="F7" s="69">
        <v>0.5</v>
      </c>
      <c r="G7" s="69"/>
      <c r="H7" s="69"/>
      <c r="I7" s="69">
        <v>1</v>
      </c>
      <c r="J7" s="69"/>
      <c r="K7" s="69">
        <v>1</v>
      </c>
      <c r="L7" s="69"/>
      <c r="M7" s="69">
        <v>1</v>
      </c>
      <c r="N7" s="70">
        <f t="shared" si="0"/>
        <v>5.5</v>
      </c>
      <c r="V7"/>
    </row>
    <row r="8" spans="1:22" ht="15.75" x14ac:dyDescent="0.25">
      <c r="A8" s="68" t="s">
        <v>20</v>
      </c>
      <c r="B8" s="69">
        <v>1</v>
      </c>
      <c r="C8" s="69"/>
      <c r="D8" s="69"/>
      <c r="E8" s="69">
        <v>1</v>
      </c>
      <c r="F8" s="69"/>
      <c r="G8" s="69"/>
      <c r="H8" s="69"/>
      <c r="I8" s="69">
        <v>1</v>
      </c>
      <c r="J8" s="69"/>
      <c r="K8" s="69">
        <v>1</v>
      </c>
      <c r="L8" s="69"/>
      <c r="M8" s="69">
        <v>1</v>
      </c>
      <c r="N8" s="70">
        <f t="shared" si="0"/>
        <v>5</v>
      </c>
      <c r="V8"/>
    </row>
    <row r="9" spans="1:22" ht="15.75" x14ac:dyDescent="0.25">
      <c r="A9" s="95" t="s">
        <v>76</v>
      </c>
      <c r="B9" s="69">
        <v>1</v>
      </c>
      <c r="C9" s="69"/>
      <c r="D9" s="69"/>
      <c r="E9" s="69">
        <v>1</v>
      </c>
      <c r="F9" s="69"/>
      <c r="G9" s="69"/>
      <c r="H9" s="69"/>
      <c r="I9" s="69">
        <v>1</v>
      </c>
      <c r="J9" s="69"/>
      <c r="K9" s="69">
        <v>1</v>
      </c>
      <c r="L9" s="69"/>
      <c r="M9" s="69">
        <v>1</v>
      </c>
      <c r="N9" s="70">
        <f t="shared" si="0"/>
        <v>5</v>
      </c>
      <c r="V9"/>
    </row>
    <row r="10" spans="1:22" ht="15.75" x14ac:dyDescent="0.25">
      <c r="A10" s="96" t="s">
        <v>97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70"/>
      <c r="V10"/>
    </row>
    <row r="11" spans="1:22" ht="15.75" x14ac:dyDescent="0.25">
      <c r="A11" s="68" t="s">
        <v>51</v>
      </c>
      <c r="B11" s="69">
        <v>1</v>
      </c>
      <c r="C11" s="69">
        <v>1</v>
      </c>
      <c r="D11" s="69">
        <v>1</v>
      </c>
      <c r="E11" s="69">
        <v>1</v>
      </c>
      <c r="F11" s="69"/>
      <c r="G11" s="69"/>
      <c r="H11" s="69"/>
      <c r="I11" s="69">
        <v>1</v>
      </c>
      <c r="J11" s="69"/>
      <c r="K11" s="69">
        <v>1</v>
      </c>
      <c r="L11" s="69"/>
      <c r="M11" s="69">
        <v>1</v>
      </c>
      <c r="N11" s="70">
        <f t="shared" si="0"/>
        <v>7</v>
      </c>
      <c r="V11"/>
    </row>
    <row r="12" spans="1:22" ht="15.75" x14ac:dyDescent="0.25">
      <c r="A12" s="68" t="s">
        <v>77</v>
      </c>
      <c r="B12" s="69">
        <v>1</v>
      </c>
      <c r="C12" s="69"/>
      <c r="D12" s="69"/>
      <c r="E12" s="69">
        <v>1</v>
      </c>
      <c r="F12" s="69"/>
      <c r="G12" s="69"/>
      <c r="H12" s="69">
        <v>0.5</v>
      </c>
      <c r="I12" s="69">
        <v>1</v>
      </c>
      <c r="J12" s="69">
        <v>1</v>
      </c>
      <c r="K12" s="69">
        <v>1</v>
      </c>
      <c r="L12" s="69"/>
      <c r="M12" s="69">
        <v>1</v>
      </c>
      <c r="N12" s="70">
        <f t="shared" si="0"/>
        <v>6.5</v>
      </c>
      <c r="V12"/>
    </row>
    <row r="13" spans="1:22" ht="15.75" x14ac:dyDescent="0.25">
      <c r="A13" s="68" t="s">
        <v>21</v>
      </c>
      <c r="B13" s="69">
        <v>1</v>
      </c>
      <c r="C13" s="69"/>
      <c r="D13" s="69"/>
      <c r="E13" s="69">
        <v>1</v>
      </c>
      <c r="F13" s="69"/>
      <c r="G13" s="69">
        <v>0.5</v>
      </c>
      <c r="H13" s="69"/>
      <c r="I13" s="69">
        <v>1</v>
      </c>
      <c r="J13" s="69"/>
      <c r="K13" s="69">
        <v>1</v>
      </c>
      <c r="L13" s="69"/>
      <c r="M13" s="69">
        <v>1</v>
      </c>
      <c r="N13" s="70">
        <f t="shared" si="0"/>
        <v>5.5</v>
      </c>
      <c r="V13"/>
    </row>
    <row r="14" spans="1:22" ht="15.75" x14ac:dyDescent="0.25">
      <c r="A14" s="68" t="s">
        <v>67</v>
      </c>
      <c r="B14" s="69">
        <v>0</v>
      </c>
      <c r="C14" s="69"/>
      <c r="D14" s="69">
        <v>1</v>
      </c>
      <c r="E14" s="69">
        <v>0</v>
      </c>
      <c r="F14" s="69"/>
      <c r="G14" s="69"/>
      <c r="H14" s="69"/>
      <c r="I14" s="69">
        <v>0</v>
      </c>
      <c r="J14" s="69">
        <v>1</v>
      </c>
      <c r="K14" s="69">
        <v>1</v>
      </c>
      <c r="L14" s="69"/>
      <c r="M14" s="69">
        <v>0</v>
      </c>
      <c r="N14" s="70">
        <f t="shared" si="0"/>
        <v>3</v>
      </c>
      <c r="V14"/>
    </row>
    <row r="15" spans="1:22" ht="15.75" x14ac:dyDescent="0.25">
      <c r="A15" s="68" t="s">
        <v>68</v>
      </c>
      <c r="B15" s="69">
        <v>0</v>
      </c>
      <c r="C15" s="69"/>
      <c r="D15" s="69"/>
      <c r="E15" s="69">
        <v>0</v>
      </c>
      <c r="F15" s="69"/>
      <c r="G15" s="69"/>
      <c r="H15" s="69"/>
      <c r="I15" s="69">
        <v>0</v>
      </c>
      <c r="J15" s="69"/>
      <c r="K15" s="69">
        <v>1</v>
      </c>
      <c r="L15" s="69"/>
      <c r="M15" s="69">
        <v>0</v>
      </c>
      <c r="N15" s="70">
        <f t="shared" si="0"/>
        <v>1</v>
      </c>
      <c r="V15"/>
    </row>
    <row r="16" spans="1:22" ht="15.75" x14ac:dyDescent="0.25">
      <c r="A16" s="68" t="s">
        <v>22</v>
      </c>
      <c r="B16" s="69">
        <v>1</v>
      </c>
      <c r="C16" s="69"/>
      <c r="D16" s="69"/>
      <c r="E16" s="69">
        <v>1</v>
      </c>
      <c r="F16" s="69">
        <v>0.5</v>
      </c>
      <c r="G16" s="69"/>
      <c r="H16" s="69"/>
      <c r="I16" s="69">
        <v>1</v>
      </c>
      <c r="J16" s="69"/>
      <c r="K16" s="69">
        <v>1</v>
      </c>
      <c r="L16" s="69"/>
      <c r="M16" s="69">
        <v>1</v>
      </c>
      <c r="N16" s="70">
        <f t="shared" si="0"/>
        <v>5.5</v>
      </c>
      <c r="V16"/>
    </row>
    <row r="17" spans="1:22" ht="15.75" x14ac:dyDescent="0.25">
      <c r="A17" s="68" t="s">
        <v>78</v>
      </c>
      <c r="B17" s="69">
        <v>1</v>
      </c>
      <c r="C17" s="69"/>
      <c r="D17" s="69"/>
      <c r="E17" s="69">
        <v>1</v>
      </c>
      <c r="F17" s="69"/>
      <c r="G17" s="69"/>
      <c r="H17" s="69"/>
      <c r="I17" s="69">
        <v>1</v>
      </c>
      <c r="J17" s="69"/>
      <c r="K17" s="69">
        <v>1</v>
      </c>
      <c r="L17" s="69"/>
      <c r="M17" s="69">
        <v>1</v>
      </c>
      <c r="N17" s="70">
        <f t="shared" si="0"/>
        <v>5</v>
      </c>
      <c r="V17"/>
    </row>
    <row r="18" spans="1:22" ht="15.75" x14ac:dyDescent="0.25">
      <c r="A18" s="95" t="s">
        <v>92</v>
      </c>
      <c r="B18" s="69">
        <v>0</v>
      </c>
      <c r="C18" s="69"/>
      <c r="D18" s="69"/>
      <c r="E18" s="69">
        <v>0</v>
      </c>
      <c r="F18" s="69"/>
      <c r="G18" s="69"/>
      <c r="H18" s="69"/>
      <c r="I18" s="69">
        <v>1</v>
      </c>
      <c r="J18" s="69"/>
      <c r="K18" s="69">
        <v>1</v>
      </c>
      <c r="L18" s="69"/>
      <c r="M18" s="69">
        <v>1</v>
      </c>
      <c r="N18" s="70">
        <f t="shared" si="0"/>
        <v>3</v>
      </c>
      <c r="V18"/>
    </row>
    <row r="19" spans="1:22" ht="15.75" x14ac:dyDescent="0.25">
      <c r="A19" s="68" t="s">
        <v>62</v>
      </c>
      <c r="B19" s="69">
        <v>0</v>
      </c>
      <c r="C19" s="69">
        <v>1</v>
      </c>
      <c r="D19" s="69">
        <v>1</v>
      </c>
      <c r="E19" s="69">
        <v>1</v>
      </c>
      <c r="F19" s="69"/>
      <c r="G19" s="69"/>
      <c r="H19" s="69"/>
      <c r="I19" s="69">
        <v>1</v>
      </c>
      <c r="J19" s="69"/>
      <c r="K19" s="69">
        <v>1</v>
      </c>
      <c r="L19" s="69"/>
      <c r="M19" s="69">
        <v>1</v>
      </c>
      <c r="N19" s="70">
        <f t="shared" si="0"/>
        <v>6</v>
      </c>
      <c r="V19"/>
    </row>
    <row r="20" spans="1:22" ht="15.75" x14ac:dyDescent="0.25">
      <c r="A20" s="68" t="s">
        <v>79</v>
      </c>
      <c r="B20" s="69">
        <v>1</v>
      </c>
      <c r="C20" s="69"/>
      <c r="D20" s="69"/>
      <c r="E20" s="69">
        <v>1</v>
      </c>
      <c r="F20" s="69">
        <v>0.5</v>
      </c>
      <c r="G20" s="69"/>
      <c r="H20" s="69"/>
      <c r="I20" s="69">
        <v>1</v>
      </c>
      <c r="J20" s="69"/>
      <c r="K20" s="69">
        <v>1</v>
      </c>
      <c r="L20" s="69"/>
      <c r="M20" s="69">
        <v>1</v>
      </c>
      <c r="N20" s="70">
        <f t="shared" si="0"/>
        <v>5.5</v>
      </c>
      <c r="V20"/>
    </row>
    <row r="21" spans="1:22" ht="15.75" x14ac:dyDescent="0.25">
      <c r="A21" s="95" t="s">
        <v>80</v>
      </c>
      <c r="B21" s="69">
        <v>1</v>
      </c>
      <c r="C21" s="69"/>
      <c r="D21" s="69"/>
      <c r="E21" s="69">
        <v>1</v>
      </c>
      <c r="F21" s="69"/>
      <c r="G21" s="69"/>
      <c r="H21" s="69"/>
      <c r="I21" s="69">
        <v>1</v>
      </c>
      <c r="J21" s="69"/>
      <c r="K21" s="69">
        <v>1</v>
      </c>
      <c r="L21" s="69"/>
      <c r="M21" s="69">
        <v>1</v>
      </c>
      <c r="N21" s="70">
        <f t="shared" si="0"/>
        <v>5</v>
      </c>
      <c r="V21"/>
    </row>
    <row r="22" spans="1:22" ht="15.75" x14ac:dyDescent="0.25">
      <c r="A22" s="68" t="s">
        <v>81</v>
      </c>
      <c r="B22" s="69">
        <v>1</v>
      </c>
      <c r="C22" s="69">
        <v>1</v>
      </c>
      <c r="D22" s="69"/>
      <c r="E22" s="69">
        <v>1</v>
      </c>
      <c r="F22" s="69">
        <v>0.5</v>
      </c>
      <c r="G22" s="69"/>
      <c r="H22" s="69"/>
      <c r="I22" s="69">
        <v>1</v>
      </c>
      <c r="J22" s="69"/>
      <c r="K22" s="69">
        <v>1</v>
      </c>
      <c r="L22" s="69"/>
      <c r="M22" s="69">
        <v>1</v>
      </c>
      <c r="N22" s="70">
        <f t="shared" si="0"/>
        <v>6.5</v>
      </c>
      <c r="V22"/>
    </row>
    <row r="23" spans="1:22" ht="15.75" x14ac:dyDescent="0.25">
      <c r="A23" s="68" t="s">
        <v>91</v>
      </c>
      <c r="B23" s="69">
        <v>0</v>
      </c>
      <c r="C23" s="69"/>
      <c r="D23" s="69"/>
      <c r="E23" s="69">
        <v>0</v>
      </c>
      <c r="F23" s="69"/>
      <c r="G23" s="69"/>
      <c r="H23" s="69"/>
      <c r="I23" s="69">
        <v>0</v>
      </c>
      <c r="J23" s="69"/>
      <c r="K23" s="69">
        <v>1</v>
      </c>
      <c r="L23" s="69">
        <v>0.5</v>
      </c>
      <c r="M23" s="69">
        <v>0</v>
      </c>
      <c r="N23" s="70">
        <f t="shared" si="0"/>
        <v>1.5</v>
      </c>
      <c r="V23"/>
    </row>
    <row r="24" spans="1:22" ht="15.75" x14ac:dyDescent="0.25">
      <c r="A24" s="68" t="s">
        <v>82</v>
      </c>
      <c r="B24" s="69">
        <v>1</v>
      </c>
      <c r="C24" s="69"/>
      <c r="D24" s="69"/>
      <c r="E24" s="69">
        <v>1</v>
      </c>
      <c r="F24" s="69"/>
      <c r="G24" s="69"/>
      <c r="H24" s="69">
        <v>0.5</v>
      </c>
      <c r="I24" s="69">
        <v>1</v>
      </c>
      <c r="J24" s="69"/>
      <c r="K24" s="69">
        <v>1</v>
      </c>
      <c r="L24" s="69"/>
      <c r="M24" s="69">
        <v>1</v>
      </c>
      <c r="N24" s="70">
        <f t="shared" si="0"/>
        <v>5.5</v>
      </c>
      <c r="V24"/>
    </row>
    <row r="25" spans="1:22" ht="15.75" x14ac:dyDescent="0.25">
      <c r="A25" s="68" t="s">
        <v>26</v>
      </c>
      <c r="B25" s="69">
        <v>1</v>
      </c>
      <c r="C25" s="69"/>
      <c r="D25" s="69"/>
      <c r="E25" s="69">
        <v>1</v>
      </c>
      <c r="F25" s="69"/>
      <c r="G25" s="69"/>
      <c r="H25" s="69">
        <v>0.5</v>
      </c>
      <c r="I25" s="69">
        <v>1</v>
      </c>
      <c r="J25" s="69"/>
      <c r="K25" s="69">
        <v>1</v>
      </c>
      <c r="L25" s="69"/>
      <c r="M25" s="69">
        <v>1</v>
      </c>
      <c r="N25" s="70">
        <f t="shared" si="0"/>
        <v>5.5</v>
      </c>
      <c r="V25"/>
    </row>
    <row r="26" spans="1:22" ht="15.75" x14ac:dyDescent="0.25">
      <c r="A26" s="68" t="s">
        <v>47</v>
      </c>
      <c r="B26" s="69">
        <v>1</v>
      </c>
      <c r="C26" s="69"/>
      <c r="D26" s="69"/>
      <c r="E26" s="69">
        <v>1</v>
      </c>
      <c r="F26" s="69"/>
      <c r="G26" s="69"/>
      <c r="H26" s="69"/>
      <c r="I26" s="69">
        <v>1</v>
      </c>
      <c r="J26" s="69"/>
      <c r="K26" s="69">
        <v>1</v>
      </c>
      <c r="L26" s="69"/>
      <c r="M26" s="69">
        <v>1</v>
      </c>
      <c r="N26" s="70">
        <f t="shared" si="0"/>
        <v>5</v>
      </c>
      <c r="V26"/>
    </row>
    <row r="27" spans="1:22" ht="15.75" x14ac:dyDescent="0.25">
      <c r="A27" s="68" t="s">
        <v>83</v>
      </c>
      <c r="B27" s="69">
        <v>1</v>
      </c>
      <c r="C27" s="69"/>
      <c r="D27" s="69"/>
      <c r="E27" s="69">
        <v>1</v>
      </c>
      <c r="F27" s="69"/>
      <c r="G27" s="69"/>
      <c r="H27" s="69">
        <v>0.5</v>
      </c>
      <c r="I27" s="69">
        <v>1</v>
      </c>
      <c r="J27" s="69">
        <v>1</v>
      </c>
      <c r="K27" s="69">
        <v>1</v>
      </c>
      <c r="L27" s="69"/>
      <c r="M27" s="69">
        <v>1</v>
      </c>
      <c r="N27" s="70">
        <f t="shared" si="0"/>
        <v>6.5</v>
      </c>
      <c r="V27"/>
    </row>
    <row r="28" spans="1:22" ht="15.75" x14ac:dyDescent="0.25">
      <c r="A28" s="68" t="s">
        <v>48</v>
      </c>
      <c r="B28" s="69">
        <v>1</v>
      </c>
      <c r="C28" s="69"/>
      <c r="D28" s="69"/>
      <c r="E28" s="69">
        <v>1</v>
      </c>
      <c r="F28" s="69"/>
      <c r="G28" s="69"/>
      <c r="H28" s="69">
        <v>0.5</v>
      </c>
      <c r="I28" s="69">
        <v>1</v>
      </c>
      <c r="J28" s="69">
        <v>1</v>
      </c>
      <c r="K28" s="69">
        <v>1</v>
      </c>
      <c r="L28" s="69"/>
      <c r="M28" s="69">
        <v>1</v>
      </c>
      <c r="N28" s="70">
        <f t="shared" si="0"/>
        <v>6.5</v>
      </c>
      <c r="V28"/>
    </row>
    <row r="29" spans="1:22" ht="15.75" x14ac:dyDescent="0.25">
      <c r="A29" s="68" t="s">
        <v>23</v>
      </c>
      <c r="B29" s="69">
        <v>1</v>
      </c>
      <c r="C29" s="69"/>
      <c r="D29" s="69"/>
      <c r="E29" s="69">
        <v>1</v>
      </c>
      <c r="F29" s="69"/>
      <c r="G29" s="69"/>
      <c r="H29" s="69">
        <v>0.5</v>
      </c>
      <c r="I29" s="69">
        <v>1</v>
      </c>
      <c r="J29" s="69">
        <v>1</v>
      </c>
      <c r="K29" s="69">
        <v>1</v>
      </c>
      <c r="L29" s="69"/>
      <c r="M29" s="69">
        <v>1</v>
      </c>
      <c r="N29" s="70">
        <f t="shared" si="0"/>
        <v>6.5</v>
      </c>
      <c r="V29"/>
    </row>
    <row r="30" spans="1:22" ht="15.75" x14ac:dyDescent="0.25">
      <c r="A30" s="68" t="s">
        <v>49</v>
      </c>
      <c r="B30" s="69">
        <v>1</v>
      </c>
      <c r="C30" s="69"/>
      <c r="D30" s="69"/>
      <c r="E30" s="69">
        <v>1</v>
      </c>
      <c r="F30" s="69"/>
      <c r="G30" s="69"/>
      <c r="H30" s="69">
        <v>0.5</v>
      </c>
      <c r="I30" s="69">
        <v>1</v>
      </c>
      <c r="J30" s="69">
        <v>1</v>
      </c>
      <c r="K30" s="69">
        <v>1</v>
      </c>
      <c r="L30" s="69"/>
      <c r="M30" s="69">
        <v>1</v>
      </c>
      <c r="N30" s="70">
        <f t="shared" si="0"/>
        <v>6.5</v>
      </c>
      <c r="V30"/>
    </row>
    <row r="31" spans="1:22" ht="15.75" x14ac:dyDescent="0.25">
      <c r="A31" s="68" t="s">
        <v>71</v>
      </c>
      <c r="B31" s="69">
        <v>1</v>
      </c>
      <c r="C31" s="69">
        <v>1</v>
      </c>
      <c r="D31" s="69"/>
      <c r="E31" s="69">
        <v>1</v>
      </c>
      <c r="F31" s="69"/>
      <c r="G31" s="69"/>
      <c r="H31" s="69">
        <v>0.5</v>
      </c>
      <c r="I31" s="69">
        <v>1</v>
      </c>
      <c r="J31" s="69"/>
      <c r="K31" s="69">
        <v>1</v>
      </c>
      <c r="L31" s="69"/>
      <c r="M31" s="69">
        <v>1</v>
      </c>
      <c r="N31" s="70">
        <f t="shared" si="0"/>
        <v>6.5</v>
      </c>
      <c r="V31"/>
    </row>
    <row r="32" spans="1:22" ht="15.75" x14ac:dyDescent="0.25">
      <c r="A32" s="95" t="s">
        <v>84</v>
      </c>
      <c r="B32" s="69">
        <v>0</v>
      </c>
      <c r="C32" s="69"/>
      <c r="D32" s="69"/>
      <c r="E32" s="69">
        <v>0</v>
      </c>
      <c r="F32" s="69"/>
      <c r="G32" s="69"/>
      <c r="H32" s="69"/>
      <c r="I32" s="69">
        <v>0</v>
      </c>
      <c r="J32" s="69"/>
      <c r="K32" s="69">
        <v>1</v>
      </c>
      <c r="L32" s="69"/>
      <c r="M32" s="69">
        <v>0</v>
      </c>
      <c r="N32" s="70">
        <f t="shared" si="0"/>
        <v>1</v>
      </c>
      <c r="V32"/>
    </row>
    <row r="33" spans="1:22" ht="15.75" x14ac:dyDescent="0.25">
      <c r="A33" s="68" t="s">
        <v>85</v>
      </c>
      <c r="B33" s="69">
        <v>1</v>
      </c>
      <c r="C33" s="69"/>
      <c r="D33" s="69"/>
      <c r="E33" s="69">
        <v>1</v>
      </c>
      <c r="F33" s="69"/>
      <c r="G33" s="69"/>
      <c r="H33" s="69">
        <v>0.5</v>
      </c>
      <c r="I33" s="69">
        <v>1</v>
      </c>
      <c r="J33" s="69"/>
      <c r="K33" s="69">
        <v>1</v>
      </c>
      <c r="L33" s="69"/>
      <c r="M33" s="69">
        <v>1</v>
      </c>
      <c r="N33" s="70">
        <f t="shared" si="0"/>
        <v>5.5</v>
      </c>
      <c r="V33"/>
    </row>
    <row r="34" spans="1:22" ht="15.75" x14ac:dyDescent="0.25">
      <c r="A34" s="68" t="s">
        <v>86</v>
      </c>
      <c r="B34" s="69">
        <v>1</v>
      </c>
      <c r="C34" s="69"/>
      <c r="D34" s="69"/>
      <c r="E34" s="69">
        <v>1</v>
      </c>
      <c r="F34" s="69"/>
      <c r="G34" s="69"/>
      <c r="H34" s="69"/>
      <c r="I34" s="69">
        <v>1</v>
      </c>
      <c r="J34" s="69"/>
      <c r="K34" s="69">
        <v>1</v>
      </c>
      <c r="L34" s="69">
        <v>0.5</v>
      </c>
      <c r="M34" s="69">
        <v>1</v>
      </c>
      <c r="N34" s="70">
        <f t="shared" si="0"/>
        <v>5.5</v>
      </c>
      <c r="V34"/>
    </row>
    <row r="35" spans="1:22" ht="15.75" x14ac:dyDescent="0.25">
      <c r="A35" s="68" t="s">
        <v>27</v>
      </c>
      <c r="B35" s="69">
        <v>1</v>
      </c>
      <c r="C35" s="69"/>
      <c r="D35" s="69"/>
      <c r="E35" s="69">
        <v>1</v>
      </c>
      <c r="F35" s="69"/>
      <c r="G35" s="69"/>
      <c r="H35" s="69"/>
      <c r="I35" s="69">
        <v>1</v>
      </c>
      <c r="J35" s="69">
        <v>1</v>
      </c>
      <c r="K35" s="69">
        <v>1</v>
      </c>
      <c r="L35" s="69"/>
      <c r="M35" s="69">
        <v>1</v>
      </c>
      <c r="N35" s="70">
        <f t="shared" si="0"/>
        <v>6</v>
      </c>
      <c r="V35"/>
    </row>
    <row r="36" spans="1:22" ht="15.75" x14ac:dyDescent="0.25">
      <c r="A36" s="68" t="s">
        <v>87</v>
      </c>
      <c r="B36" s="69">
        <v>1</v>
      </c>
      <c r="C36" s="69"/>
      <c r="D36" s="69"/>
      <c r="E36" s="69">
        <v>1</v>
      </c>
      <c r="F36" s="69"/>
      <c r="G36" s="69"/>
      <c r="H36" s="69"/>
      <c r="I36" s="69">
        <v>1</v>
      </c>
      <c r="J36" s="69"/>
      <c r="K36" s="69">
        <v>1</v>
      </c>
      <c r="L36" s="69"/>
      <c r="M36" s="69">
        <v>1</v>
      </c>
      <c r="N36" s="70">
        <f t="shared" si="0"/>
        <v>5</v>
      </c>
      <c r="V36"/>
    </row>
    <row r="37" spans="1:22" ht="15.75" x14ac:dyDescent="0.25">
      <c r="A37" s="68" t="s">
        <v>63</v>
      </c>
      <c r="B37" s="69">
        <v>1</v>
      </c>
      <c r="C37" s="69"/>
      <c r="D37" s="69"/>
      <c r="E37" s="69">
        <v>1</v>
      </c>
      <c r="F37" s="69"/>
      <c r="G37" s="69"/>
      <c r="H37" s="69">
        <v>0.5</v>
      </c>
      <c r="I37" s="69">
        <v>1</v>
      </c>
      <c r="J37" s="69"/>
      <c r="K37" s="69">
        <v>1</v>
      </c>
      <c r="L37" s="69"/>
      <c r="M37" s="69">
        <v>1</v>
      </c>
      <c r="N37" s="70">
        <f t="shared" si="0"/>
        <v>5.5</v>
      </c>
      <c r="V37"/>
    </row>
    <row r="38" spans="1:22" ht="15.75" x14ac:dyDescent="0.25">
      <c r="A38" s="68" t="s">
        <v>69</v>
      </c>
      <c r="B38" s="69">
        <v>1</v>
      </c>
      <c r="C38" s="69"/>
      <c r="D38" s="69"/>
      <c r="E38" s="69">
        <v>1</v>
      </c>
      <c r="F38" s="69"/>
      <c r="G38" s="69"/>
      <c r="H38" s="69"/>
      <c r="I38" s="69">
        <v>1</v>
      </c>
      <c r="J38" s="69"/>
      <c r="K38" s="69">
        <v>1</v>
      </c>
      <c r="L38" s="69"/>
      <c r="M38" s="69">
        <v>1</v>
      </c>
      <c r="N38" s="70">
        <f t="shared" si="0"/>
        <v>5</v>
      </c>
      <c r="V38"/>
    </row>
    <row r="39" spans="1:22" ht="15.75" x14ac:dyDescent="0.25">
      <c r="A39" s="68" t="s">
        <v>65</v>
      </c>
      <c r="B39" s="69">
        <v>1</v>
      </c>
      <c r="C39" s="69"/>
      <c r="D39" s="69"/>
      <c r="E39" s="69">
        <v>1</v>
      </c>
      <c r="F39" s="69">
        <v>0.5</v>
      </c>
      <c r="G39" s="69"/>
      <c r="H39" s="69"/>
      <c r="I39" s="69">
        <v>1</v>
      </c>
      <c r="J39" s="69"/>
      <c r="K39" s="69">
        <v>1</v>
      </c>
      <c r="L39" s="69"/>
      <c r="M39" s="69">
        <v>1</v>
      </c>
      <c r="N39" s="70">
        <f t="shared" si="0"/>
        <v>5.5</v>
      </c>
      <c r="V39"/>
    </row>
    <row r="40" spans="1:22" ht="15.75" x14ac:dyDescent="0.25">
      <c r="A40" s="68" t="s">
        <v>100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70"/>
      <c r="V40"/>
    </row>
    <row r="41" spans="1:22" ht="15.75" x14ac:dyDescent="0.25">
      <c r="A41" s="68" t="s">
        <v>89</v>
      </c>
      <c r="B41" s="69">
        <v>1</v>
      </c>
      <c r="C41" s="69"/>
      <c r="D41" s="69"/>
      <c r="E41" s="69">
        <v>1</v>
      </c>
      <c r="F41" s="69"/>
      <c r="G41" s="69"/>
      <c r="H41" s="69"/>
      <c r="I41" s="69">
        <v>1</v>
      </c>
      <c r="J41" s="69"/>
      <c r="K41" s="69">
        <v>1</v>
      </c>
      <c r="L41" s="69"/>
      <c r="M41" s="69">
        <v>1</v>
      </c>
      <c r="N41" s="70">
        <f t="shared" si="0"/>
        <v>5</v>
      </c>
      <c r="V41"/>
    </row>
    <row r="42" spans="1:22" ht="15.75" x14ac:dyDescent="0.25">
      <c r="A42" s="68" t="s">
        <v>72</v>
      </c>
      <c r="B42" s="69">
        <v>1</v>
      </c>
      <c r="C42" s="69"/>
      <c r="D42" s="69"/>
      <c r="E42" s="69">
        <v>1</v>
      </c>
      <c r="F42" s="69"/>
      <c r="G42" s="69">
        <v>0.5</v>
      </c>
      <c r="H42" s="69"/>
      <c r="I42" s="69">
        <v>1</v>
      </c>
      <c r="J42" s="69"/>
      <c r="K42" s="69">
        <v>1</v>
      </c>
      <c r="L42" s="69"/>
      <c r="M42" s="69">
        <v>1</v>
      </c>
      <c r="N42" s="70">
        <f t="shared" si="0"/>
        <v>5.5</v>
      </c>
      <c r="V42"/>
    </row>
    <row r="43" spans="1:22" ht="15.75" x14ac:dyDescent="0.25">
      <c r="A43" s="68" t="s">
        <v>70</v>
      </c>
      <c r="B43" s="69">
        <v>1</v>
      </c>
      <c r="C43" s="69">
        <v>1</v>
      </c>
      <c r="D43" s="69"/>
      <c r="E43" s="69">
        <v>1</v>
      </c>
      <c r="F43" s="69">
        <v>0.5</v>
      </c>
      <c r="G43" s="69"/>
      <c r="H43" s="69"/>
      <c r="I43" s="69">
        <v>1</v>
      </c>
      <c r="J43" s="69"/>
      <c r="K43" s="69">
        <v>1</v>
      </c>
      <c r="L43" s="69"/>
      <c r="M43" s="69">
        <v>1</v>
      </c>
      <c r="N43" s="70">
        <f t="shared" si="0"/>
        <v>6.5</v>
      </c>
      <c r="V43"/>
    </row>
    <row r="44" spans="1:22" ht="15.75" x14ac:dyDescent="0.25">
      <c r="A44" s="68" t="s">
        <v>88</v>
      </c>
      <c r="B44" s="69">
        <v>1</v>
      </c>
      <c r="C44" s="69"/>
      <c r="D44" s="69"/>
      <c r="E44" s="69">
        <v>1</v>
      </c>
      <c r="F44" s="69"/>
      <c r="G44" s="69"/>
      <c r="H44" s="69">
        <v>0.5</v>
      </c>
      <c r="I44" s="69">
        <v>1</v>
      </c>
      <c r="J44" s="69"/>
      <c r="K44" s="69">
        <v>1</v>
      </c>
      <c r="L44" s="69"/>
      <c r="M44" s="69">
        <v>1</v>
      </c>
      <c r="N44" s="70">
        <f t="shared" si="0"/>
        <v>5.5</v>
      </c>
      <c r="V44"/>
    </row>
    <row r="45" spans="1:22" ht="15.75" x14ac:dyDescent="0.25">
      <c r="A45" s="68" t="s">
        <v>90</v>
      </c>
      <c r="B45" s="69">
        <v>0</v>
      </c>
      <c r="C45" s="69"/>
      <c r="D45" s="69"/>
      <c r="E45" s="69">
        <v>0</v>
      </c>
      <c r="F45" s="69"/>
      <c r="G45" s="69"/>
      <c r="H45" s="69"/>
      <c r="I45" s="69">
        <v>0</v>
      </c>
      <c r="J45" s="69"/>
      <c r="K45" s="69">
        <v>1</v>
      </c>
      <c r="L45" s="69"/>
      <c r="M45" s="69">
        <v>0</v>
      </c>
      <c r="N45" s="70">
        <f t="shared" si="0"/>
        <v>1</v>
      </c>
      <c r="V45"/>
    </row>
    <row r="46" spans="1:22" ht="15.75" x14ac:dyDescent="0.25">
      <c r="A46" s="68" t="s">
        <v>24</v>
      </c>
      <c r="B46" s="69">
        <v>1</v>
      </c>
      <c r="C46" s="69"/>
      <c r="D46" s="69"/>
      <c r="E46" s="69">
        <v>1</v>
      </c>
      <c r="F46" s="69"/>
      <c r="G46" s="69"/>
      <c r="H46" s="69"/>
      <c r="I46" s="69">
        <v>1</v>
      </c>
      <c r="J46" s="69">
        <v>1</v>
      </c>
      <c r="K46" s="69">
        <v>1</v>
      </c>
      <c r="L46" s="69"/>
      <c r="M46" s="69">
        <v>1</v>
      </c>
      <c r="N46" s="70">
        <f t="shared" si="0"/>
        <v>6</v>
      </c>
      <c r="V46"/>
    </row>
    <row r="47" spans="1:22" ht="15.75" x14ac:dyDescent="0.25">
      <c r="A47" s="68" t="s">
        <v>93</v>
      </c>
      <c r="B47" s="69">
        <v>0</v>
      </c>
      <c r="C47" s="69"/>
      <c r="D47" s="69"/>
      <c r="E47" s="69">
        <v>0</v>
      </c>
      <c r="F47" s="69"/>
      <c r="G47" s="69"/>
      <c r="H47" s="69"/>
      <c r="I47" s="69">
        <v>0</v>
      </c>
      <c r="J47" s="69"/>
      <c r="K47" s="69">
        <v>1</v>
      </c>
      <c r="L47" s="69">
        <v>0.5</v>
      </c>
      <c r="M47" s="69">
        <v>0</v>
      </c>
      <c r="N47" s="62">
        <f t="shared" si="0"/>
        <v>1.5</v>
      </c>
      <c r="V47"/>
    </row>
    <row r="48" spans="1:22" ht="15.75" x14ac:dyDescent="0.25">
      <c r="A48" s="68" t="s">
        <v>94</v>
      </c>
      <c r="B48" s="69">
        <v>0</v>
      </c>
      <c r="C48" s="69"/>
      <c r="D48" s="69"/>
      <c r="E48" s="69">
        <v>0</v>
      </c>
      <c r="F48" s="69"/>
      <c r="G48" s="69"/>
      <c r="H48" s="69"/>
      <c r="I48" s="69">
        <v>0</v>
      </c>
      <c r="J48" s="69"/>
      <c r="K48" s="69">
        <v>1</v>
      </c>
      <c r="L48" s="69"/>
      <c r="M48" s="69">
        <v>0</v>
      </c>
      <c r="N48" s="62">
        <f t="shared" si="0"/>
        <v>1</v>
      </c>
      <c r="V48"/>
    </row>
    <row r="49" spans="1:22" ht="15.75" x14ac:dyDescent="0.25">
      <c r="A49" s="72" t="s">
        <v>25</v>
      </c>
      <c r="B49" s="73">
        <f t="shared" ref="B49:K49" si="1">SUM(B2:B46)</f>
        <v>36</v>
      </c>
      <c r="C49" s="73">
        <f t="shared" si="1"/>
        <v>6</v>
      </c>
      <c r="D49" s="73">
        <f t="shared" si="1"/>
        <v>4</v>
      </c>
      <c r="E49" s="73">
        <f t="shared" ref="E49:I49" si="2">SUM(E2:E46)</f>
        <v>37</v>
      </c>
      <c r="F49" s="73">
        <f t="shared" si="2"/>
        <v>3.5</v>
      </c>
      <c r="G49" s="73">
        <f t="shared" si="2"/>
        <v>1.5</v>
      </c>
      <c r="H49" s="73">
        <f t="shared" si="2"/>
        <v>5.5</v>
      </c>
      <c r="I49" s="73">
        <f t="shared" si="2"/>
        <v>38</v>
      </c>
      <c r="J49" s="73">
        <f t="shared" si="1"/>
        <v>8</v>
      </c>
      <c r="K49" s="73">
        <f t="shared" si="1"/>
        <v>43</v>
      </c>
      <c r="L49" s="73">
        <f t="shared" ref="L49:M49" si="3">SUM(L2:L46)</f>
        <v>1.5</v>
      </c>
      <c r="M49" s="73">
        <f t="shared" si="3"/>
        <v>38</v>
      </c>
      <c r="N49" s="74">
        <f t="shared" si="0"/>
        <v>222</v>
      </c>
      <c r="V4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opLeftCell="A11" zoomScale="85" zoomScaleNormal="85" workbookViewId="0">
      <selection activeCell="A46" sqref="A46"/>
    </sheetView>
  </sheetViews>
  <sheetFormatPr defaultRowHeight="15" x14ac:dyDescent="0.25"/>
  <cols>
    <col min="1" max="1" width="51.85546875" customWidth="1"/>
    <col min="2" max="18" width="14.140625" customWidth="1"/>
    <col min="19" max="19" width="18.28515625" style="5" bestFit="1" customWidth="1"/>
    <col min="20" max="20" width="25.7109375" customWidth="1"/>
  </cols>
  <sheetData>
    <row r="1" spans="1:19" s="61" customFormat="1" ht="15.75" x14ac:dyDescent="0.25">
      <c r="A1" s="66" t="s">
        <v>19</v>
      </c>
      <c r="B1" s="67">
        <v>46055</v>
      </c>
      <c r="C1" s="67">
        <v>46056</v>
      </c>
      <c r="D1" s="67">
        <v>46062</v>
      </c>
      <c r="E1" s="67">
        <v>46065</v>
      </c>
      <c r="F1" s="67">
        <v>46069</v>
      </c>
      <c r="G1" s="67">
        <v>46069</v>
      </c>
      <c r="H1" s="67">
        <v>46069</v>
      </c>
      <c r="I1" s="67">
        <v>46076</v>
      </c>
      <c r="J1" s="67">
        <v>46079</v>
      </c>
      <c r="K1" s="66" t="s">
        <v>25</v>
      </c>
      <c r="L1" s="66" t="s">
        <v>25</v>
      </c>
    </row>
    <row r="2" spans="1:19" ht="15.75" x14ac:dyDescent="0.25">
      <c r="A2" s="68" t="s">
        <v>73</v>
      </c>
      <c r="B2" s="69">
        <v>1</v>
      </c>
      <c r="C2" s="69"/>
      <c r="D2" s="69">
        <v>1</v>
      </c>
      <c r="E2" s="69"/>
      <c r="F2" s="69">
        <v>1</v>
      </c>
      <c r="G2" s="69">
        <v>1</v>
      </c>
      <c r="H2" s="69">
        <v>1</v>
      </c>
      <c r="I2" s="69">
        <v>1</v>
      </c>
      <c r="J2" s="69"/>
      <c r="K2" s="70">
        <f t="shared" ref="K2:K7" si="0">SUM(B2:J2)</f>
        <v>6</v>
      </c>
      <c r="L2" s="71">
        <f>COUNTA(B1:J1)</f>
        <v>9</v>
      </c>
      <c r="S2"/>
    </row>
    <row r="3" spans="1:19" ht="15.75" x14ac:dyDescent="0.25">
      <c r="A3" s="68" t="s">
        <v>74</v>
      </c>
      <c r="B3" s="69">
        <v>1</v>
      </c>
      <c r="C3" s="69"/>
      <c r="D3" s="69">
        <v>1</v>
      </c>
      <c r="E3" s="69"/>
      <c r="F3" s="69">
        <v>1</v>
      </c>
      <c r="G3" s="69">
        <v>1</v>
      </c>
      <c r="H3" s="69">
        <v>1</v>
      </c>
      <c r="I3" s="69">
        <v>1</v>
      </c>
      <c r="J3" s="69"/>
      <c r="K3" s="70">
        <f t="shared" si="0"/>
        <v>6</v>
      </c>
      <c r="S3"/>
    </row>
    <row r="4" spans="1:19" ht="15.75" x14ac:dyDescent="0.25">
      <c r="A4" s="68" t="s">
        <v>75</v>
      </c>
      <c r="B4" s="69">
        <v>1</v>
      </c>
      <c r="C4" s="69"/>
      <c r="D4" s="69">
        <v>1</v>
      </c>
      <c r="E4" s="69"/>
      <c r="F4" s="69">
        <v>1</v>
      </c>
      <c r="G4" s="69">
        <v>1</v>
      </c>
      <c r="H4" s="69">
        <v>1</v>
      </c>
      <c r="I4" s="69">
        <v>1</v>
      </c>
      <c r="J4" s="69"/>
      <c r="K4" s="70">
        <f t="shared" si="0"/>
        <v>6</v>
      </c>
      <c r="S4"/>
    </row>
    <row r="5" spans="1:19" ht="15.75" x14ac:dyDescent="0.25">
      <c r="A5" s="68" t="s">
        <v>64</v>
      </c>
      <c r="B5" s="69">
        <v>1</v>
      </c>
      <c r="C5" s="69"/>
      <c r="D5" s="69">
        <v>1</v>
      </c>
      <c r="E5" s="69"/>
      <c r="F5" s="69">
        <v>1</v>
      </c>
      <c r="G5" s="69">
        <v>1</v>
      </c>
      <c r="H5" s="69">
        <v>1</v>
      </c>
      <c r="I5" s="69">
        <v>1</v>
      </c>
      <c r="J5" s="69"/>
      <c r="K5" s="70">
        <f t="shared" si="0"/>
        <v>6</v>
      </c>
      <c r="S5"/>
    </row>
    <row r="6" spans="1:19" ht="15.75" x14ac:dyDescent="0.25">
      <c r="A6" s="68" t="s">
        <v>66</v>
      </c>
      <c r="B6" s="69">
        <v>0</v>
      </c>
      <c r="C6" s="69"/>
      <c r="D6" s="69">
        <v>0</v>
      </c>
      <c r="E6" s="69"/>
      <c r="F6" s="69">
        <v>0</v>
      </c>
      <c r="G6" s="69">
        <v>0</v>
      </c>
      <c r="H6" s="69">
        <v>0</v>
      </c>
      <c r="I6" s="69">
        <v>0</v>
      </c>
      <c r="J6" s="69"/>
      <c r="K6" s="70">
        <f t="shared" si="0"/>
        <v>0</v>
      </c>
      <c r="S6"/>
    </row>
    <row r="7" spans="1:19" ht="15.75" x14ac:dyDescent="0.25">
      <c r="A7" s="68" t="s">
        <v>50</v>
      </c>
      <c r="B7" s="69">
        <v>1</v>
      </c>
      <c r="C7" s="69"/>
      <c r="D7" s="69">
        <v>1</v>
      </c>
      <c r="E7" s="69"/>
      <c r="F7" s="69">
        <v>1</v>
      </c>
      <c r="G7" s="69">
        <v>1</v>
      </c>
      <c r="H7" s="69">
        <v>1</v>
      </c>
      <c r="I7" s="69">
        <v>1</v>
      </c>
      <c r="J7" s="69"/>
      <c r="K7" s="70">
        <f t="shared" si="0"/>
        <v>6</v>
      </c>
      <c r="S7"/>
    </row>
    <row r="8" spans="1:19" ht="15.75" x14ac:dyDescent="0.25">
      <c r="A8" s="68" t="s">
        <v>20</v>
      </c>
      <c r="B8" s="69">
        <v>1</v>
      </c>
      <c r="C8" s="69"/>
      <c r="D8" s="69">
        <v>1</v>
      </c>
      <c r="E8" s="69"/>
      <c r="F8" s="69">
        <v>1</v>
      </c>
      <c r="G8" s="69">
        <v>1</v>
      </c>
      <c r="H8" s="69">
        <v>1</v>
      </c>
      <c r="I8" s="69">
        <v>1</v>
      </c>
      <c r="J8" s="69"/>
      <c r="K8" s="70">
        <f t="shared" ref="K8:K12" si="1">SUM(B8:J8)</f>
        <v>6</v>
      </c>
      <c r="S8"/>
    </row>
    <row r="9" spans="1:19" ht="15.75" x14ac:dyDescent="0.25">
      <c r="A9" s="96" t="s">
        <v>97</v>
      </c>
      <c r="B9" s="69">
        <v>1</v>
      </c>
      <c r="C9" s="69">
        <v>2</v>
      </c>
      <c r="D9" s="69">
        <v>1</v>
      </c>
      <c r="E9" s="69"/>
      <c r="F9" s="69">
        <v>1</v>
      </c>
      <c r="G9" s="69">
        <v>1</v>
      </c>
      <c r="H9" s="69">
        <v>1</v>
      </c>
      <c r="I9" s="69">
        <v>1</v>
      </c>
      <c r="J9" s="69"/>
      <c r="K9" s="70">
        <f t="shared" si="1"/>
        <v>8</v>
      </c>
      <c r="S9"/>
    </row>
    <row r="10" spans="1:19" ht="15.75" x14ac:dyDescent="0.25">
      <c r="A10" s="68" t="s">
        <v>51</v>
      </c>
      <c r="B10" s="69">
        <v>1</v>
      </c>
      <c r="C10" s="69"/>
      <c r="D10" s="69">
        <v>1</v>
      </c>
      <c r="E10" s="69"/>
      <c r="F10" s="69">
        <v>1</v>
      </c>
      <c r="G10" s="69">
        <v>1</v>
      </c>
      <c r="H10" s="69">
        <v>1</v>
      </c>
      <c r="I10" s="69">
        <v>1</v>
      </c>
      <c r="J10" s="69"/>
      <c r="K10" s="70">
        <f t="shared" si="1"/>
        <v>6</v>
      </c>
      <c r="S10"/>
    </row>
    <row r="11" spans="1:19" ht="15.75" x14ac:dyDescent="0.25">
      <c r="A11" s="68" t="s">
        <v>77</v>
      </c>
      <c r="B11" s="69">
        <v>1</v>
      </c>
      <c r="C11" s="69"/>
      <c r="D11" s="69">
        <v>1</v>
      </c>
      <c r="E11" s="69">
        <v>2</v>
      </c>
      <c r="F11" s="69">
        <v>1</v>
      </c>
      <c r="G11" s="69">
        <v>1</v>
      </c>
      <c r="H11" s="69">
        <v>1</v>
      </c>
      <c r="I11" s="69">
        <v>1</v>
      </c>
      <c r="J11" s="69"/>
      <c r="K11" s="70">
        <f t="shared" si="1"/>
        <v>8</v>
      </c>
      <c r="S11"/>
    </row>
    <row r="12" spans="1:19" ht="15.75" x14ac:dyDescent="0.25">
      <c r="A12" s="95" t="s">
        <v>21</v>
      </c>
      <c r="B12" s="69">
        <v>1</v>
      </c>
      <c r="C12" s="69"/>
      <c r="D12" s="69">
        <v>1</v>
      </c>
      <c r="E12" s="69"/>
      <c r="F12" s="69">
        <v>1</v>
      </c>
      <c r="G12" s="69">
        <v>1</v>
      </c>
      <c r="H12" s="69">
        <v>1</v>
      </c>
      <c r="I12" s="69">
        <v>1</v>
      </c>
      <c r="J12" s="69"/>
      <c r="K12" s="70">
        <f t="shared" si="1"/>
        <v>6</v>
      </c>
      <c r="S12"/>
    </row>
    <row r="13" spans="1:19" ht="15.75" x14ac:dyDescent="0.25">
      <c r="A13" s="68" t="s">
        <v>67</v>
      </c>
      <c r="B13" s="69">
        <v>0</v>
      </c>
      <c r="C13" s="69"/>
      <c r="D13" s="69">
        <v>0</v>
      </c>
      <c r="E13" s="69">
        <v>2</v>
      </c>
      <c r="F13" s="69">
        <v>0</v>
      </c>
      <c r="G13" s="69">
        <v>0</v>
      </c>
      <c r="H13" s="69">
        <v>0</v>
      </c>
      <c r="I13" s="69">
        <v>1</v>
      </c>
      <c r="J13" s="69"/>
      <c r="K13" s="70">
        <f t="shared" ref="K13:K46" si="2">SUM(B13:J13)</f>
        <v>3</v>
      </c>
      <c r="S13"/>
    </row>
    <row r="14" spans="1:19" ht="15.75" x14ac:dyDescent="0.25">
      <c r="A14" s="68" t="s">
        <v>68</v>
      </c>
      <c r="B14" s="69">
        <v>0</v>
      </c>
      <c r="C14" s="69"/>
      <c r="D14" s="69">
        <v>0</v>
      </c>
      <c r="E14" s="69"/>
      <c r="F14" s="69">
        <v>0</v>
      </c>
      <c r="G14" s="69">
        <v>0</v>
      </c>
      <c r="H14" s="69">
        <v>1</v>
      </c>
      <c r="I14" s="69">
        <v>0</v>
      </c>
      <c r="J14" s="69">
        <v>2</v>
      </c>
      <c r="K14" s="70">
        <f t="shared" si="2"/>
        <v>3</v>
      </c>
      <c r="S14"/>
    </row>
    <row r="15" spans="1:19" ht="15.75" x14ac:dyDescent="0.25">
      <c r="A15" s="68" t="s">
        <v>22</v>
      </c>
      <c r="B15" s="69">
        <v>1</v>
      </c>
      <c r="C15" s="69"/>
      <c r="D15" s="69">
        <v>1</v>
      </c>
      <c r="E15" s="69"/>
      <c r="F15" s="69">
        <v>1</v>
      </c>
      <c r="G15" s="69">
        <v>1</v>
      </c>
      <c r="H15" s="69">
        <v>1</v>
      </c>
      <c r="I15" s="69">
        <v>1</v>
      </c>
      <c r="J15" s="69"/>
      <c r="K15" s="70">
        <f t="shared" si="2"/>
        <v>6</v>
      </c>
      <c r="S15"/>
    </row>
    <row r="16" spans="1:19" ht="15.75" x14ac:dyDescent="0.25">
      <c r="A16" s="68" t="s">
        <v>78</v>
      </c>
      <c r="B16" s="69">
        <v>1</v>
      </c>
      <c r="C16" s="69">
        <v>2</v>
      </c>
      <c r="D16" s="69">
        <v>1</v>
      </c>
      <c r="E16" s="69"/>
      <c r="F16" s="69">
        <v>1</v>
      </c>
      <c r="G16" s="69">
        <v>1</v>
      </c>
      <c r="H16" s="69">
        <v>1</v>
      </c>
      <c r="I16" s="69">
        <v>1</v>
      </c>
      <c r="J16" s="69"/>
      <c r="K16" s="70">
        <f t="shared" si="2"/>
        <v>8</v>
      </c>
      <c r="S16"/>
    </row>
    <row r="17" spans="1:19" ht="15.75" x14ac:dyDescent="0.25">
      <c r="A17" s="68" t="s">
        <v>62</v>
      </c>
      <c r="B17" s="69">
        <v>1</v>
      </c>
      <c r="C17" s="69"/>
      <c r="D17" s="69">
        <v>1</v>
      </c>
      <c r="E17" s="69"/>
      <c r="F17" s="69">
        <v>1</v>
      </c>
      <c r="G17" s="69">
        <v>1</v>
      </c>
      <c r="H17" s="69">
        <v>1</v>
      </c>
      <c r="I17" s="69">
        <v>1</v>
      </c>
      <c r="J17" s="69"/>
      <c r="K17" s="70">
        <f t="shared" si="2"/>
        <v>6</v>
      </c>
      <c r="S17"/>
    </row>
    <row r="18" spans="1:19" ht="15.75" x14ac:dyDescent="0.25">
      <c r="A18" s="68" t="s">
        <v>79</v>
      </c>
      <c r="B18" s="69">
        <v>1</v>
      </c>
      <c r="C18" s="69"/>
      <c r="D18" s="69">
        <v>1</v>
      </c>
      <c r="E18" s="69"/>
      <c r="F18" s="69">
        <v>1</v>
      </c>
      <c r="G18" s="69">
        <v>1</v>
      </c>
      <c r="H18" s="69">
        <v>1</v>
      </c>
      <c r="I18" s="69">
        <v>1</v>
      </c>
      <c r="J18" s="69"/>
      <c r="K18" s="70">
        <f t="shared" si="2"/>
        <v>6</v>
      </c>
      <c r="S18"/>
    </row>
    <row r="19" spans="1:19" ht="15.75" x14ac:dyDescent="0.25">
      <c r="A19" s="68" t="s">
        <v>81</v>
      </c>
      <c r="B19" s="69">
        <v>1</v>
      </c>
      <c r="C19" s="69"/>
      <c r="D19" s="69">
        <v>1</v>
      </c>
      <c r="E19" s="69"/>
      <c r="F19" s="69">
        <v>1</v>
      </c>
      <c r="G19" s="69">
        <v>1</v>
      </c>
      <c r="H19" s="69">
        <v>1</v>
      </c>
      <c r="I19" s="69">
        <v>1</v>
      </c>
      <c r="J19" s="69"/>
      <c r="K19" s="70">
        <f t="shared" si="2"/>
        <v>6</v>
      </c>
      <c r="S19"/>
    </row>
    <row r="20" spans="1:19" ht="15.75" x14ac:dyDescent="0.25">
      <c r="A20" s="68" t="s">
        <v>91</v>
      </c>
      <c r="B20" s="69">
        <v>1</v>
      </c>
      <c r="C20" s="69">
        <v>2</v>
      </c>
      <c r="D20" s="69">
        <v>1</v>
      </c>
      <c r="E20" s="69"/>
      <c r="F20" s="69">
        <v>1</v>
      </c>
      <c r="G20" s="69">
        <v>1</v>
      </c>
      <c r="H20" s="69">
        <v>1</v>
      </c>
      <c r="I20" s="69">
        <v>1</v>
      </c>
      <c r="J20" s="69"/>
      <c r="K20" s="70">
        <f t="shared" si="2"/>
        <v>8</v>
      </c>
      <c r="S20"/>
    </row>
    <row r="21" spans="1:19" ht="15.75" x14ac:dyDescent="0.25">
      <c r="A21" s="68" t="s">
        <v>82</v>
      </c>
      <c r="B21" s="69">
        <v>1</v>
      </c>
      <c r="C21" s="69"/>
      <c r="D21" s="69">
        <v>1</v>
      </c>
      <c r="E21" s="69"/>
      <c r="F21" s="69">
        <v>1</v>
      </c>
      <c r="G21" s="69">
        <v>1</v>
      </c>
      <c r="H21" s="69">
        <v>1</v>
      </c>
      <c r="I21" s="69">
        <v>1</v>
      </c>
      <c r="J21" s="69"/>
      <c r="K21" s="70">
        <f t="shared" si="2"/>
        <v>6</v>
      </c>
      <c r="S21"/>
    </row>
    <row r="22" spans="1:19" ht="15.75" x14ac:dyDescent="0.25">
      <c r="A22" s="68" t="s">
        <v>26</v>
      </c>
      <c r="B22" s="69">
        <v>1</v>
      </c>
      <c r="C22" s="69"/>
      <c r="D22" s="69">
        <v>1</v>
      </c>
      <c r="E22" s="69"/>
      <c r="F22" s="69">
        <v>1</v>
      </c>
      <c r="G22" s="69">
        <v>1</v>
      </c>
      <c r="H22" s="69">
        <v>1</v>
      </c>
      <c r="I22" s="69">
        <v>1</v>
      </c>
      <c r="J22" s="69"/>
      <c r="K22" s="70">
        <f t="shared" si="2"/>
        <v>6</v>
      </c>
      <c r="S22"/>
    </row>
    <row r="23" spans="1:19" ht="15.75" x14ac:dyDescent="0.25">
      <c r="A23" s="68" t="s">
        <v>47</v>
      </c>
      <c r="B23" s="69">
        <v>1</v>
      </c>
      <c r="C23" s="69"/>
      <c r="D23" s="69">
        <v>1</v>
      </c>
      <c r="E23" s="69"/>
      <c r="F23" s="69">
        <v>1</v>
      </c>
      <c r="G23" s="69">
        <v>1</v>
      </c>
      <c r="H23" s="69">
        <v>1</v>
      </c>
      <c r="I23" s="69">
        <v>1</v>
      </c>
      <c r="J23" s="69"/>
      <c r="K23" s="70">
        <f t="shared" si="2"/>
        <v>6</v>
      </c>
      <c r="S23"/>
    </row>
    <row r="24" spans="1:19" ht="15.75" x14ac:dyDescent="0.25">
      <c r="A24" s="68" t="s">
        <v>83</v>
      </c>
      <c r="B24" s="69">
        <v>1</v>
      </c>
      <c r="C24" s="69"/>
      <c r="D24" s="69">
        <v>1</v>
      </c>
      <c r="E24" s="69"/>
      <c r="F24" s="69">
        <v>1</v>
      </c>
      <c r="G24" s="69">
        <v>1</v>
      </c>
      <c r="H24" s="69">
        <v>1</v>
      </c>
      <c r="I24" s="69">
        <v>1</v>
      </c>
      <c r="J24" s="69"/>
      <c r="K24" s="70">
        <f t="shared" si="2"/>
        <v>6</v>
      </c>
      <c r="S24"/>
    </row>
    <row r="25" spans="1:19" ht="15.75" x14ac:dyDescent="0.25">
      <c r="A25" s="68" t="s">
        <v>48</v>
      </c>
      <c r="B25" s="69">
        <v>1</v>
      </c>
      <c r="C25" s="69"/>
      <c r="D25" s="69">
        <v>1</v>
      </c>
      <c r="E25" s="69">
        <v>2</v>
      </c>
      <c r="F25" s="69">
        <v>1</v>
      </c>
      <c r="G25" s="69">
        <v>1</v>
      </c>
      <c r="H25" s="69">
        <v>1</v>
      </c>
      <c r="I25" s="69">
        <v>1</v>
      </c>
      <c r="J25" s="69"/>
      <c r="K25" s="70">
        <f t="shared" si="2"/>
        <v>8</v>
      </c>
      <c r="S25"/>
    </row>
    <row r="26" spans="1:19" ht="15.75" x14ac:dyDescent="0.25">
      <c r="A26" s="68" t="s">
        <v>23</v>
      </c>
      <c r="B26" s="69">
        <v>1</v>
      </c>
      <c r="C26" s="69"/>
      <c r="D26" s="69">
        <v>1</v>
      </c>
      <c r="E26" s="69">
        <v>2</v>
      </c>
      <c r="F26" s="69">
        <v>1</v>
      </c>
      <c r="G26" s="69">
        <v>1</v>
      </c>
      <c r="H26" s="69">
        <v>1</v>
      </c>
      <c r="I26" s="69">
        <v>1</v>
      </c>
      <c r="J26" s="69"/>
      <c r="K26" s="70">
        <f t="shared" si="2"/>
        <v>8</v>
      </c>
      <c r="S26"/>
    </row>
    <row r="27" spans="1:19" ht="15.75" x14ac:dyDescent="0.25">
      <c r="A27" s="68" t="s">
        <v>96</v>
      </c>
      <c r="B27" s="69">
        <v>0</v>
      </c>
      <c r="C27" s="69"/>
      <c r="D27" s="69">
        <v>0</v>
      </c>
      <c r="E27" s="69"/>
      <c r="F27" s="69">
        <v>0</v>
      </c>
      <c r="G27" s="69">
        <v>0</v>
      </c>
      <c r="H27" s="69">
        <v>0</v>
      </c>
      <c r="I27" s="69">
        <v>0</v>
      </c>
      <c r="J27" s="69">
        <v>2</v>
      </c>
      <c r="K27" s="70">
        <f t="shared" si="2"/>
        <v>2</v>
      </c>
      <c r="S27"/>
    </row>
    <row r="28" spans="1:19" ht="15.75" x14ac:dyDescent="0.25">
      <c r="A28" s="68" t="s">
        <v>49</v>
      </c>
      <c r="B28" s="69">
        <v>1</v>
      </c>
      <c r="C28" s="69"/>
      <c r="D28" s="69">
        <v>1</v>
      </c>
      <c r="E28" s="69">
        <v>2</v>
      </c>
      <c r="F28" s="69">
        <v>1</v>
      </c>
      <c r="G28" s="69">
        <v>1</v>
      </c>
      <c r="H28" s="69">
        <v>1</v>
      </c>
      <c r="I28" s="69">
        <v>1</v>
      </c>
      <c r="J28" s="69"/>
      <c r="K28" s="70">
        <f t="shared" si="2"/>
        <v>8</v>
      </c>
      <c r="S28"/>
    </row>
    <row r="29" spans="1:19" ht="15.75" x14ac:dyDescent="0.25">
      <c r="A29" s="68" t="s">
        <v>71</v>
      </c>
      <c r="B29" s="69">
        <v>1</v>
      </c>
      <c r="C29" s="69"/>
      <c r="D29" s="69">
        <v>1</v>
      </c>
      <c r="E29" s="69"/>
      <c r="F29" s="69">
        <v>1</v>
      </c>
      <c r="G29" s="69">
        <v>1</v>
      </c>
      <c r="H29" s="69">
        <v>1</v>
      </c>
      <c r="I29" s="69">
        <v>1</v>
      </c>
      <c r="J29" s="69"/>
      <c r="K29" s="70">
        <f t="shared" si="2"/>
        <v>6</v>
      </c>
      <c r="S29"/>
    </row>
    <row r="30" spans="1:19" ht="15.75" x14ac:dyDescent="0.25">
      <c r="A30" s="68" t="s">
        <v>85</v>
      </c>
      <c r="B30" s="69">
        <v>1</v>
      </c>
      <c r="C30" s="69"/>
      <c r="D30" s="69">
        <v>1</v>
      </c>
      <c r="E30" s="69"/>
      <c r="F30" s="69">
        <v>1</v>
      </c>
      <c r="G30" s="69">
        <v>1</v>
      </c>
      <c r="H30" s="69">
        <v>1</v>
      </c>
      <c r="I30" s="69">
        <v>1</v>
      </c>
      <c r="J30" s="69"/>
      <c r="K30" s="70">
        <f t="shared" si="2"/>
        <v>6</v>
      </c>
      <c r="S30"/>
    </row>
    <row r="31" spans="1:19" ht="15.75" x14ac:dyDescent="0.25">
      <c r="A31" s="68" t="s">
        <v>86</v>
      </c>
      <c r="B31" s="69">
        <v>1</v>
      </c>
      <c r="C31" s="69">
        <v>2</v>
      </c>
      <c r="D31" s="69">
        <v>1</v>
      </c>
      <c r="E31" s="69"/>
      <c r="F31" s="69">
        <v>1</v>
      </c>
      <c r="G31" s="69">
        <v>1</v>
      </c>
      <c r="H31" s="69">
        <v>1</v>
      </c>
      <c r="I31" s="69">
        <v>1</v>
      </c>
      <c r="J31" s="69">
        <v>2</v>
      </c>
      <c r="K31" s="70">
        <f t="shared" si="2"/>
        <v>10</v>
      </c>
      <c r="S31"/>
    </row>
    <row r="32" spans="1:19" ht="15.75" x14ac:dyDescent="0.25">
      <c r="A32" s="68" t="s">
        <v>27</v>
      </c>
      <c r="B32" s="69">
        <v>1</v>
      </c>
      <c r="C32" s="69"/>
      <c r="D32" s="69">
        <v>1</v>
      </c>
      <c r="E32" s="69">
        <v>2</v>
      </c>
      <c r="F32" s="69">
        <v>1</v>
      </c>
      <c r="G32" s="69">
        <v>1</v>
      </c>
      <c r="H32" s="69">
        <v>1</v>
      </c>
      <c r="I32" s="69">
        <v>1</v>
      </c>
      <c r="J32" s="69"/>
      <c r="K32" s="70">
        <f t="shared" si="2"/>
        <v>8</v>
      </c>
      <c r="S32"/>
    </row>
    <row r="33" spans="1:19" ht="15.75" x14ac:dyDescent="0.25">
      <c r="A33" s="68" t="s">
        <v>87</v>
      </c>
      <c r="B33" s="69">
        <v>1</v>
      </c>
      <c r="C33" s="69"/>
      <c r="D33" s="69">
        <v>1</v>
      </c>
      <c r="E33" s="69"/>
      <c r="F33" s="69">
        <v>1</v>
      </c>
      <c r="G33" s="69">
        <v>1</v>
      </c>
      <c r="H33" s="69">
        <v>1</v>
      </c>
      <c r="I33" s="69">
        <v>1</v>
      </c>
      <c r="J33" s="69"/>
      <c r="K33" s="70">
        <f t="shared" si="2"/>
        <v>6</v>
      </c>
      <c r="S33"/>
    </row>
    <row r="34" spans="1:19" ht="15.75" x14ac:dyDescent="0.25">
      <c r="A34" s="68" t="s">
        <v>63</v>
      </c>
      <c r="B34" s="69">
        <v>1</v>
      </c>
      <c r="C34" s="69"/>
      <c r="D34" s="69">
        <v>1</v>
      </c>
      <c r="E34" s="69"/>
      <c r="F34" s="69">
        <v>1</v>
      </c>
      <c r="G34" s="69">
        <v>1</v>
      </c>
      <c r="H34" s="69">
        <v>1</v>
      </c>
      <c r="I34" s="69">
        <v>1</v>
      </c>
      <c r="J34" s="69"/>
      <c r="K34" s="70">
        <f t="shared" si="2"/>
        <v>6</v>
      </c>
      <c r="S34"/>
    </row>
    <row r="35" spans="1:19" ht="15.75" x14ac:dyDescent="0.25">
      <c r="A35" s="68" t="s">
        <v>69</v>
      </c>
      <c r="B35" s="69">
        <v>0</v>
      </c>
      <c r="C35" s="69"/>
      <c r="D35" s="69">
        <v>0</v>
      </c>
      <c r="E35" s="69"/>
      <c r="F35" s="69">
        <v>0</v>
      </c>
      <c r="G35" s="69">
        <v>0</v>
      </c>
      <c r="H35" s="69">
        <v>0</v>
      </c>
      <c r="I35" s="69">
        <v>0</v>
      </c>
      <c r="J35" s="69"/>
      <c r="K35" s="70">
        <f t="shared" si="2"/>
        <v>0</v>
      </c>
      <c r="S35"/>
    </row>
    <row r="36" spans="1:19" ht="15.75" x14ac:dyDescent="0.25">
      <c r="A36" s="68" t="s">
        <v>65</v>
      </c>
      <c r="B36" s="69">
        <v>1</v>
      </c>
      <c r="C36" s="69"/>
      <c r="D36" s="69">
        <v>1</v>
      </c>
      <c r="E36" s="69"/>
      <c r="F36" s="69">
        <v>1</v>
      </c>
      <c r="G36" s="69">
        <v>1</v>
      </c>
      <c r="H36" s="69">
        <v>1</v>
      </c>
      <c r="I36" s="69">
        <v>1</v>
      </c>
      <c r="J36" s="69"/>
      <c r="K36" s="70">
        <f t="shared" si="2"/>
        <v>6</v>
      </c>
      <c r="S36"/>
    </row>
    <row r="37" spans="1:19" ht="15.75" x14ac:dyDescent="0.25">
      <c r="A37" s="68" t="s">
        <v>100</v>
      </c>
      <c r="B37" s="69"/>
      <c r="C37" s="69"/>
      <c r="D37" s="69"/>
      <c r="E37" s="69"/>
      <c r="F37" s="69"/>
      <c r="G37" s="69"/>
      <c r="H37" s="69"/>
      <c r="I37" s="69"/>
      <c r="J37" s="69"/>
      <c r="K37" s="70"/>
      <c r="S37"/>
    </row>
    <row r="38" spans="1:19" ht="15.75" x14ac:dyDescent="0.25">
      <c r="A38" s="68" t="s">
        <v>89</v>
      </c>
      <c r="B38" s="69">
        <v>1</v>
      </c>
      <c r="C38" s="69"/>
      <c r="D38" s="69">
        <v>1</v>
      </c>
      <c r="E38" s="69"/>
      <c r="F38" s="69">
        <v>1</v>
      </c>
      <c r="G38" s="69">
        <v>1</v>
      </c>
      <c r="H38" s="69">
        <v>1</v>
      </c>
      <c r="I38" s="69">
        <v>1</v>
      </c>
      <c r="J38" s="69"/>
      <c r="K38" s="70">
        <f t="shared" si="2"/>
        <v>6</v>
      </c>
      <c r="S38"/>
    </row>
    <row r="39" spans="1:19" ht="15.75" x14ac:dyDescent="0.25">
      <c r="A39" s="68" t="s">
        <v>72</v>
      </c>
      <c r="B39" s="69">
        <v>1</v>
      </c>
      <c r="C39" s="69"/>
      <c r="D39" s="69">
        <v>1</v>
      </c>
      <c r="E39" s="69"/>
      <c r="F39" s="69">
        <v>1</v>
      </c>
      <c r="G39" s="69">
        <v>1</v>
      </c>
      <c r="H39" s="69">
        <v>1</v>
      </c>
      <c r="I39" s="69">
        <v>1</v>
      </c>
      <c r="J39" s="69"/>
      <c r="K39" s="70">
        <f t="shared" si="2"/>
        <v>6</v>
      </c>
      <c r="S39"/>
    </row>
    <row r="40" spans="1:19" ht="15.75" x14ac:dyDescent="0.25">
      <c r="A40" s="68" t="s">
        <v>70</v>
      </c>
      <c r="B40" s="69">
        <v>1</v>
      </c>
      <c r="C40" s="69"/>
      <c r="D40" s="69">
        <v>1</v>
      </c>
      <c r="E40" s="69"/>
      <c r="F40" s="69">
        <v>1</v>
      </c>
      <c r="G40" s="69">
        <v>1</v>
      </c>
      <c r="H40" s="69">
        <v>1</v>
      </c>
      <c r="I40" s="69">
        <v>1</v>
      </c>
      <c r="J40" s="69"/>
      <c r="K40" s="70">
        <f t="shared" si="2"/>
        <v>6</v>
      </c>
      <c r="S40"/>
    </row>
    <row r="41" spans="1:19" ht="15.75" x14ac:dyDescent="0.25">
      <c r="A41" s="68" t="s">
        <v>88</v>
      </c>
      <c r="B41" s="69">
        <v>1</v>
      </c>
      <c r="C41" s="69"/>
      <c r="D41" s="69">
        <v>1</v>
      </c>
      <c r="E41" s="69"/>
      <c r="F41" s="69">
        <v>1</v>
      </c>
      <c r="G41" s="69">
        <v>1</v>
      </c>
      <c r="H41" s="69">
        <v>1</v>
      </c>
      <c r="I41" s="69">
        <v>1</v>
      </c>
      <c r="J41" s="69"/>
      <c r="K41" s="70">
        <f t="shared" si="2"/>
        <v>6</v>
      </c>
      <c r="S41"/>
    </row>
    <row r="42" spans="1:19" ht="15.75" x14ac:dyDescent="0.25">
      <c r="A42" s="68" t="s">
        <v>90</v>
      </c>
      <c r="B42" s="69">
        <v>0</v>
      </c>
      <c r="C42" s="69"/>
      <c r="D42" s="69">
        <v>0</v>
      </c>
      <c r="E42" s="69"/>
      <c r="F42" s="69">
        <v>0</v>
      </c>
      <c r="G42" s="69">
        <v>0</v>
      </c>
      <c r="H42" s="69">
        <v>0</v>
      </c>
      <c r="I42" s="69">
        <v>0</v>
      </c>
      <c r="J42" s="69"/>
      <c r="K42" s="70">
        <f t="shared" si="2"/>
        <v>0</v>
      </c>
      <c r="S42"/>
    </row>
    <row r="43" spans="1:19" ht="15.75" x14ac:dyDescent="0.25">
      <c r="A43" s="68" t="s">
        <v>24</v>
      </c>
      <c r="B43" s="69">
        <v>0</v>
      </c>
      <c r="C43" s="69"/>
      <c r="D43" s="69">
        <v>0</v>
      </c>
      <c r="E43" s="69"/>
      <c r="F43" s="69">
        <v>0</v>
      </c>
      <c r="G43" s="69">
        <v>0</v>
      </c>
      <c r="H43" s="69">
        <v>0</v>
      </c>
      <c r="I43" s="69">
        <v>0</v>
      </c>
      <c r="J43" s="69"/>
      <c r="K43" s="70">
        <f t="shared" si="2"/>
        <v>0</v>
      </c>
      <c r="S43"/>
    </row>
    <row r="44" spans="1:19" ht="15.75" x14ac:dyDescent="0.25">
      <c r="A44" s="96" t="s">
        <v>93</v>
      </c>
      <c r="B44" s="69">
        <v>1</v>
      </c>
      <c r="C44" s="69">
        <v>2</v>
      </c>
      <c r="D44" s="69">
        <v>1</v>
      </c>
      <c r="E44" s="69"/>
      <c r="F44" s="69">
        <v>1</v>
      </c>
      <c r="G44" s="69">
        <v>1</v>
      </c>
      <c r="H44" s="69">
        <v>1</v>
      </c>
      <c r="I44" s="69">
        <v>1</v>
      </c>
      <c r="J44" s="69"/>
      <c r="K44" s="62">
        <f t="shared" si="2"/>
        <v>8</v>
      </c>
      <c r="S44"/>
    </row>
    <row r="45" spans="1:19" ht="15.75" x14ac:dyDescent="0.25">
      <c r="A45" s="95" t="s">
        <v>94</v>
      </c>
      <c r="B45" s="69">
        <v>1</v>
      </c>
      <c r="C45" s="69"/>
      <c r="D45" s="69">
        <v>1</v>
      </c>
      <c r="E45" s="69"/>
      <c r="F45" s="69">
        <v>1</v>
      </c>
      <c r="G45" s="69">
        <v>1</v>
      </c>
      <c r="H45" s="69">
        <v>1</v>
      </c>
      <c r="I45" s="69">
        <v>1</v>
      </c>
      <c r="J45" s="69"/>
      <c r="K45" s="62">
        <f t="shared" si="2"/>
        <v>6</v>
      </c>
      <c r="S45"/>
    </row>
    <row r="46" spans="1:19" ht="15.75" x14ac:dyDescent="0.25">
      <c r="A46" s="72" t="s">
        <v>25</v>
      </c>
      <c r="B46" s="73">
        <f>SUM(B2:B45)</f>
        <v>36</v>
      </c>
      <c r="C46" s="73">
        <f>SUM(C2:C45)</f>
        <v>10</v>
      </c>
      <c r="D46" s="73">
        <f>SUM(D2:D45)</f>
        <v>36</v>
      </c>
      <c r="E46" s="73">
        <f>SUM(E2:E43)</f>
        <v>12</v>
      </c>
      <c r="F46" s="73">
        <f>SUM(F2:F45)</f>
        <v>36</v>
      </c>
      <c r="G46" s="73">
        <f>SUM(G2:G45)</f>
        <v>36</v>
      </c>
      <c r="H46" s="73">
        <f>SUM(H2:H45)</f>
        <v>37</v>
      </c>
      <c r="I46" s="73">
        <f>SUM(I2:I45)</f>
        <v>37</v>
      </c>
      <c r="J46" s="73">
        <f>SUM(J2:J45)</f>
        <v>6</v>
      </c>
      <c r="K46" s="74">
        <f t="shared" si="2"/>
        <v>246</v>
      </c>
      <c r="S4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zoomScale="70" zoomScaleNormal="70" workbookViewId="0">
      <selection activeCell="P3" sqref="P3"/>
    </sheetView>
  </sheetViews>
  <sheetFormatPr defaultRowHeight="15" x14ac:dyDescent="0.25"/>
  <cols>
    <col min="1" max="1" width="51.85546875" customWidth="1"/>
    <col min="2" max="22" width="14.140625" customWidth="1"/>
    <col min="23" max="23" width="18.28515625" style="5" bestFit="1" customWidth="1"/>
    <col min="24" max="24" width="25.7109375" customWidth="1"/>
  </cols>
  <sheetData>
    <row r="1" spans="1:23" s="61" customFormat="1" ht="15.75" x14ac:dyDescent="0.25">
      <c r="A1" s="66" t="s">
        <v>19</v>
      </c>
      <c r="B1" s="67">
        <v>46083</v>
      </c>
      <c r="C1" s="67">
        <v>46083</v>
      </c>
      <c r="D1" s="67">
        <v>46083</v>
      </c>
      <c r="E1" s="67">
        <v>46084</v>
      </c>
      <c r="F1" s="67">
        <v>46085</v>
      </c>
      <c r="G1" s="67">
        <v>46086</v>
      </c>
      <c r="H1" s="67">
        <v>46086</v>
      </c>
      <c r="I1" s="67">
        <v>46090</v>
      </c>
      <c r="J1" s="67">
        <v>46097</v>
      </c>
      <c r="K1" s="67">
        <v>46101</v>
      </c>
      <c r="L1" s="67">
        <v>46104</v>
      </c>
      <c r="M1" s="67">
        <v>46111</v>
      </c>
      <c r="N1" s="67">
        <v>46111</v>
      </c>
      <c r="O1" s="66" t="s">
        <v>25</v>
      </c>
      <c r="P1" s="66" t="s">
        <v>25</v>
      </c>
    </row>
    <row r="2" spans="1:23" ht="15.75" x14ac:dyDescent="0.25">
      <c r="A2" s="68" t="s">
        <v>73</v>
      </c>
      <c r="B2" s="69">
        <v>1</v>
      </c>
      <c r="C2" s="69"/>
      <c r="D2" s="69"/>
      <c r="E2" s="69"/>
      <c r="F2" s="69">
        <v>1</v>
      </c>
      <c r="G2" s="69"/>
      <c r="H2" s="69"/>
      <c r="I2" s="69">
        <v>1</v>
      </c>
      <c r="J2" s="69">
        <v>1</v>
      </c>
      <c r="K2" s="69"/>
      <c r="L2" s="69">
        <v>1</v>
      </c>
      <c r="M2" s="69"/>
      <c r="N2" s="69"/>
      <c r="O2" s="70">
        <f t="shared" ref="O2:O44" si="0">SUM(B2:N2)</f>
        <v>5</v>
      </c>
      <c r="P2" s="71">
        <f>COUNTA(B1:N1)</f>
        <v>13</v>
      </c>
      <c r="W2"/>
    </row>
    <row r="3" spans="1:23" ht="15.75" x14ac:dyDescent="0.25">
      <c r="A3" s="68" t="s">
        <v>74</v>
      </c>
      <c r="B3" s="69">
        <v>1</v>
      </c>
      <c r="C3" s="69"/>
      <c r="D3" s="69"/>
      <c r="E3" s="69"/>
      <c r="F3" s="69"/>
      <c r="G3" s="69"/>
      <c r="H3" s="69"/>
      <c r="I3" s="69">
        <v>1</v>
      </c>
      <c r="J3" s="69">
        <v>1</v>
      </c>
      <c r="K3" s="69"/>
      <c r="L3" s="69">
        <v>1</v>
      </c>
      <c r="M3" s="69">
        <v>1</v>
      </c>
      <c r="N3" s="69">
        <v>2</v>
      </c>
      <c r="O3" s="70">
        <f t="shared" si="0"/>
        <v>7</v>
      </c>
      <c r="W3"/>
    </row>
    <row r="4" spans="1:23" ht="15.75" x14ac:dyDescent="0.25">
      <c r="A4" s="68" t="s">
        <v>75</v>
      </c>
      <c r="B4" s="69">
        <v>1</v>
      </c>
      <c r="C4" s="69"/>
      <c r="D4" s="69"/>
      <c r="E4" s="69"/>
      <c r="F4" s="69"/>
      <c r="G4" s="69">
        <v>1</v>
      </c>
      <c r="H4" s="69"/>
      <c r="I4" s="69">
        <v>1</v>
      </c>
      <c r="J4" s="69">
        <v>1</v>
      </c>
      <c r="K4" s="69">
        <v>1</v>
      </c>
      <c r="L4" s="69">
        <v>1</v>
      </c>
      <c r="M4" s="69">
        <v>1</v>
      </c>
      <c r="N4" s="69"/>
      <c r="O4" s="70">
        <f t="shared" si="0"/>
        <v>7</v>
      </c>
      <c r="W4"/>
    </row>
    <row r="5" spans="1:23" ht="15.75" x14ac:dyDescent="0.25">
      <c r="A5" s="68" t="s">
        <v>64</v>
      </c>
      <c r="B5" s="69">
        <v>1</v>
      </c>
      <c r="C5" s="69"/>
      <c r="D5" s="69"/>
      <c r="E5" s="69"/>
      <c r="F5" s="69">
        <v>1</v>
      </c>
      <c r="G5" s="69"/>
      <c r="H5" s="69"/>
      <c r="I5" s="69">
        <v>1</v>
      </c>
      <c r="J5" s="69">
        <v>1</v>
      </c>
      <c r="K5" s="69"/>
      <c r="L5" s="69">
        <v>1</v>
      </c>
      <c r="M5" s="69">
        <v>1</v>
      </c>
      <c r="N5" s="69"/>
      <c r="O5" s="70">
        <f t="shared" si="0"/>
        <v>6</v>
      </c>
      <c r="W5"/>
    </row>
    <row r="6" spans="1:23" ht="15.75" x14ac:dyDescent="0.25">
      <c r="A6" s="68" t="s">
        <v>66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70">
        <f t="shared" si="0"/>
        <v>0</v>
      </c>
      <c r="W6"/>
    </row>
    <row r="7" spans="1:23" ht="15.75" x14ac:dyDescent="0.25">
      <c r="A7" s="68" t="s">
        <v>50</v>
      </c>
      <c r="B7" s="69">
        <v>1</v>
      </c>
      <c r="C7" s="69"/>
      <c r="D7" s="69"/>
      <c r="E7" s="69"/>
      <c r="F7" s="69">
        <v>1</v>
      </c>
      <c r="G7" s="69"/>
      <c r="H7" s="69"/>
      <c r="I7" s="69">
        <v>1</v>
      </c>
      <c r="J7" s="69">
        <v>1</v>
      </c>
      <c r="K7" s="69"/>
      <c r="L7" s="69">
        <v>1</v>
      </c>
      <c r="M7" s="69">
        <v>1</v>
      </c>
      <c r="N7" s="69"/>
      <c r="O7" s="70">
        <f t="shared" si="0"/>
        <v>6</v>
      </c>
      <c r="W7"/>
    </row>
    <row r="8" spans="1:23" ht="15.75" x14ac:dyDescent="0.25">
      <c r="A8" s="68" t="s">
        <v>20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70">
        <f t="shared" si="0"/>
        <v>0</v>
      </c>
      <c r="W8"/>
    </row>
    <row r="9" spans="1:23" ht="15.75" x14ac:dyDescent="0.25">
      <c r="A9" s="95" t="s">
        <v>97</v>
      </c>
      <c r="B9" s="69">
        <v>1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70">
        <f t="shared" si="0"/>
        <v>1</v>
      </c>
      <c r="W9"/>
    </row>
    <row r="10" spans="1:23" ht="15.75" x14ac:dyDescent="0.25">
      <c r="A10" s="95" t="s">
        <v>51</v>
      </c>
      <c r="B10" s="69">
        <v>1</v>
      </c>
      <c r="C10" s="69"/>
      <c r="D10" s="69"/>
      <c r="E10" s="69"/>
      <c r="F10" s="69"/>
      <c r="G10" s="69">
        <v>1</v>
      </c>
      <c r="H10" s="69"/>
      <c r="I10" s="69">
        <v>1</v>
      </c>
      <c r="J10" s="69">
        <v>1</v>
      </c>
      <c r="K10" s="69"/>
      <c r="L10" s="69"/>
      <c r="M10" s="69"/>
      <c r="N10" s="69"/>
      <c r="O10" s="70">
        <f t="shared" si="0"/>
        <v>4</v>
      </c>
      <c r="W10"/>
    </row>
    <row r="11" spans="1:23" ht="15.75" x14ac:dyDescent="0.25">
      <c r="A11" s="68" t="s">
        <v>77</v>
      </c>
      <c r="B11" s="69">
        <v>1</v>
      </c>
      <c r="C11" s="69"/>
      <c r="D11" s="69"/>
      <c r="E11" s="69"/>
      <c r="F11" s="69">
        <v>1</v>
      </c>
      <c r="G11" s="69"/>
      <c r="H11" s="69"/>
      <c r="I11" s="69">
        <v>1</v>
      </c>
      <c r="J11" s="69"/>
      <c r="K11" s="69"/>
      <c r="L11" s="69">
        <v>1</v>
      </c>
      <c r="M11" s="69"/>
      <c r="N11" s="69"/>
      <c r="O11" s="70">
        <f t="shared" si="0"/>
        <v>4</v>
      </c>
      <c r="W11"/>
    </row>
    <row r="12" spans="1:23" ht="15.75" x14ac:dyDescent="0.25">
      <c r="A12" s="68" t="s">
        <v>67</v>
      </c>
      <c r="B12" s="69" t="s">
        <v>99</v>
      </c>
      <c r="C12" s="69"/>
      <c r="D12" s="69"/>
      <c r="E12" s="69">
        <v>2</v>
      </c>
      <c r="F12" s="69"/>
      <c r="G12" s="69"/>
      <c r="H12" s="69"/>
      <c r="I12" s="69">
        <v>1</v>
      </c>
      <c r="J12" s="69"/>
      <c r="K12" s="69">
        <v>1</v>
      </c>
      <c r="L12" s="69"/>
      <c r="M12" s="69"/>
      <c r="N12" s="69"/>
      <c r="O12" s="70">
        <f t="shared" si="0"/>
        <v>4</v>
      </c>
      <c r="W12"/>
    </row>
    <row r="13" spans="1:23" ht="15.75" x14ac:dyDescent="0.25">
      <c r="A13" s="68" t="s">
        <v>68</v>
      </c>
      <c r="B13" s="69"/>
      <c r="C13" s="69"/>
      <c r="D13" s="69">
        <v>2</v>
      </c>
      <c r="E13" s="69"/>
      <c r="F13" s="69"/>
      <c r="G13" s="69"/>
      <c r="H13" s="69"/>
      <c r="I13" s="69"/>
      <c r="J13" s="69"/>
      <c r="K13" s="69"/>
      <c r="L13" s="69"/>
      <c r="M13" s="69"/>
      <c r="N13" s="69">
        <v>2</v>
      </c>
      <c r="O13" s="70">
        <f t="shared" si="0"/>
        <v>4</v>
      </c>
      <c r="W13"/>
    </row>
    <row r="14" spans="1:23" ht="15.75" x14ac:dyDescent="0.25">
      <c r="A14" s="68" t="s">
        <v>22</v>
      </c>
      <c r="B14" s="69">
        <v>1</v>
      </c>
      <c r="C14" s="69"/>
      <c r="D14" s="69"/>
      <c r="E14" s="69"/>
      <c r="F14" s="69">
        <v>1</v>
      </c>
      <c r="G14" s="69"/>
      <c r="H14" s="69"/>
      <c r="I14" s="69">
        <v>1</v>
      </c>
      <c r="J14" s="69">
        <v>1</v>
      </c>
      <c r="K14" s="69"/>
      <c r="L14" s="69">
        <v>1</v>
      </c>
      <c r="M14" s="69">
        <v>1</v>
      </c>
      <c r="N14" s="69"/>
      <c r="O14" s="70">
        <f t="shared" si="0"/>
        <v>6</v>
      </c>
      <c r="W14"/>
    </row>
    <row r="15" spans="1:23" ht="15.75" x14ac:dyDescent="0.25">
      <c r="A15" s="68" t="s">
        <v>78</v>
      </c>
      <c r="B15" s="69">
        <v>1</v>
      </c>
      <c r="C15" s="69">
        <v>1</v>
      </c>
      <c r="D15" s="69"/>
      <c r="E15" s="69"/>
      <c r="F15" s="69"/>
      <c r="G15" s="69"/>
      <c r="H15" s="69">
        <v>1</v>
      </c>
      <c r="I15" s="69">
        <v>1</v>
      </c>
      <c r="J15" s="69">
        <v>1</v>
      </c>
      <c r="K15" s="69">
        <v>1</v>
      </c>
      <c r="L15" s="69">
        <v>1</v>
      </c>
      <c r="M15" s="69">
        <v>1</v>
      </c>
      <c r="N15" s="69"/>
      <c r="O15" s="70">
        <f t="shared" si="0"/>
        <v>8</v>
      </c>
      <c r="W15"/>
    </row>
    <row r="16" spans="1:23" ht="15.75" x14ac:dyDescent="0.25">
      <c r="A16" s="68" t="s">
        <v>62</v>
      </c>
      <c r="B16" s="69">
        <v>1</v>
      </c>
      <c r="C16" s="69"/>
      <c r="D16" s="69"/>
      <c r="E16" s="69"/>
      <c r="F16" s="69"/>
      <c r="G16" s="69">
        <v>1</v>
      </c>
      <c r="H16" s="69"/>
      <c r="I16" s="69"/>
      <c r="J16" s="69">
        <v>1</v>
      </c>
      <c r="K16" s="69">
        <v>1</v>
      </c>
      <c r="L16" s="69">
        <v>1</v>
      </c>
      <c r="M16" s="69">
        <v>1</v>
      </c>
      <c r="N16" s="69"/>
      <c r="O16" s="70">
        <f t="shared" si="0"/>
        <v>6</v>
      </c>
      <c r="W16"/>
    </row>
    <row r="17" spans="1:23" ht="15.75" x14ac:dyDescent="0.25">
      <c r="A17" s="68" t="s">
        <v>79</v>
      </c>
      <c r="B17" s="69">
        <v>1</v>
      </c>
      <c r="C17" s="69"/>
      <c r="D17" s="69"/>
      <c r="E17" s="69"/>
      <c r="F17" s="69">
        <v>1</v>
      </c>
      <c r="G17" s="69"/>
      <c r="H17" s="69"/>
      <c r="I17" s="69">
        <v>1</v>
      </c>
      <c r="J17" s="69">
        <v>1</v>
      </c>
      <c r="K17" s="69"/>
      <c r="L17" s="69">
        <v>1</v>
      </c>
      <c r="M17" s="69">
        <v>1</v>
      </c>
      <c r="N17" s="69"/>
      <c r="O17" s="70">
        <f t="shared" si="0"/>
        <v>6</v>
      </c>
      <c r="W17"/>
    </row>
    <row r="18" spans="1:23" ht="15.75" x14ac:dyDescent="0.25">
      <c r="A18" s="68" t="s">
        <v>81</v>
      </c>
      <c r="B18" s="69">
        <v>1</v>
      </c>
      <c r="C18" s="69"/>
      <c r="D18" s="69"/>
      <c r="E18" s="69"/>
      <c r="F18" s="69">
        <v>1</v>
      </c>
      <c r="G18" s="69"/>
      <c r="H18" s="69"/>
      <c r="I18" s="69"/>
      <c r="J18" s="69">
        <v>1</v>
      </c>
      <c r="K18" s="69"/>
      <c r="L18" s="69">
        <v>1</v>
      </c>
      <c r="M18" s="69">
        <v>1</v>
      </c>
      <c r="N18" s="69"/>
      <c r="O18" s="70">
        <f t="shared" si="0"/>
        <v>5</v>
      </c>
      <c r="W18"/>
    </row>
    <row r="19" spans="1:23" ht="15.75" x14ac:dyDescent="0.25">
      <c r="A19" s="95" t="s">
        <v>91</v>
      </c>
      <c r="B19" s="69">
        <v>1</v>
      </c>
      <c r="C19" s="69"/>
      <c r="D19" s="69"/>
      <c r="E19" s="69"/>
      <c r="F19" s="69">
        <v>1</v>
      </c>
      <c r="G19" s="69"/>
      <c r="H19" s="69"/>
      <c r="I19" s="69">
        <v>1</v>
      </c>
      <c r="J19" s="69">
        <v>1</v>
      </c>
      <c r="K19" s="69"/>
      <c r="L19" s="69"/>
      <c r="M19" s="69"/>
      <c r="N19" s="69"/>
      <c r="O19" s="70">
        <f t="shared" si="0"/>
        <v>4</v>
      </c>
      <c r="W19"/>
    </row>
    <row r="20" spans="1:23" ht="15.75" x14ac:dyDescent="0.25">
      <c r="A20" s="68" t="s">
        <v>82</v>
      </c>
      <c r="B20" s="69">
        <v>1</v>
      </c>
      <c r="C20" s="69"/>
      <c r="D20" s="69"/>
      <c r="E20" s="69"/>
      <c r="F20" s="69">
        <v>1</v>
      </c>
      <c r="G20" s="69"/>
      <c r="H20" s="69"/>
      <c r="I20" s="69">
        <v>1</v>
      </c>
      <c r="J20" s="69">
        <v>1</v>
      </c>
      <c r="K20" s="69"/>
      <c r="L20" s="69"/>
      <c r="M20" s="69">
        <v>1</v>
      </c>
      <c r="N20" s="69"/>
      <c r="O20" s="70">
        <f t="shared" si="0"/>
        <v>5</v>
      </c>
      <c r="W20"/>
    </row>
    <row r="21" spans="1:23" ht="15.75" x14ac:dyDescent="0.25">
      <c r="A21" s="68" t="s">
        <v>26</v>
      </c>
      <c r="B21" s="69">
        <v>1</v>
      </c>
      <c r="C21" s="69"/>
      <c r="D21" s="69"/>
      <c r="E21" s="69"/>
      <c r="F21" s="69">
        <v>1</v>
      </c>
      <c r="G21" s="69"/>
      <c r="H21" s="69"/>
      <c r="I21" s="69">
        <v>1</v>
      </c>
      <c r="J21" s="69">
        <v>1</v>
      </c>
      <c r="K21" s="69"/>
      <c r="L21" s="69">
        <v>1</v>
      </c>
      <c r="M21" s="69">
        <v>1</v>
      </c>
      <c r="N21" s="69"/>
      <c r="O21" s="70">
        <f t="shared" si="0"/>
        <v>6</v>
      </c>
      <c r="W21"/>
    </row>
    <row r="22" spans="1:23" ht="15.75" x14ac:dyDescent="0.25">
      <c r="A22" s="68" t="s">
        <v>47</v>
      </c>
      <c r="B22" s="69">
        <v>1</v>
      </c>
      <c r="C22" s="69"/>
      <c r="D22" s="69"/>
      <c r="E22" s="69"/>
      <c r="F22" s="69"/>
      <c r="G22" s="69"/>
      <c r="H22" s="69"/>
      <c r="I22" s="69">
        <v>1</v>
      </c>
      <c r="J22" s="69">
        <v>1</v>
      </c>
      <c r="K22" s="69"/>
      <c r="L22" s="69">
        <v>1</v>
      </c>
      <c r="M22" s="69">
        <v>1</v>
      </c>
      <c r="N22" s="69"/>
      <c r="O22" s="70">
        <f t="shared" si="0"/>
        <v>5</v>
      </c>
      <c r="W22"/>
    </row>
    <row r="23" spans="1:23" ht="15.75" x14ac:dyDescent="0.25">
      <c r="A23" s="68" t="s">
        <v>83</v>
      </c>
      <c r="B23" s="69">
        <v>1</v>
      </c>
      <c r="C23" s="69">
        <v>1</v>
      </c>
      <c r="D23" s="69"/>
      <c r="E23" s="69"/>
      <c r="F23" s="69">
        <v>1</v>
      </c>
      <c r="G23" s="69"/>
      <c r="H23" s="69"/>
      <c r="I23" s="69">
        <v>1</v>
      </c>
      <c r="J23" s="69">
        <v>1</v>
      </c>
      <c r="K23" s="69">
        <v>1</v>
      </c>
      <c r="L23" s="69">
        <v>1</v>
      </c>
      <c r="M23" s="69">
        <v>1</v>
      </c>
      <c r="N23" s="69"/>
      <c r="O23" s="70">
        <f t="shared" si="0"/>
        <v>8</v>
      </c>
      <c r="W23"/>
    </row>
    <row r="24" spans="1:23" ht="15.75" x14ac:dyDescent="0.25">
      <c r="A24" s="68" t="s">
        <v>48</v>
      </c>
      <c r="B24" s="69">
        <v>1</v>
      </c>
      <c r="C24" s="69"/>
      <c r="D24" s="69"/>
      <c r="E24" s="69"/>
      <c r="F24" s="69">
        <v>1</v>
      </c>
      <c r="G24" s="69"/>
      <c r="H24" s="69"/>
      <c r="I24" s="69">
        <v>1</v>
      </c>
      <c r="J24" s="69">
        <v>1</v>
      </c>
      <c r="K24" s="69"/>
      <c r="L24" s="69">
        <v>1</v>
      </c>
      <c r="M24" s="69">
        <v>1</v>
      </c>
      <c r="N24" s="69"/>
      <c r="O24" s="70">
        <f t="shared" si="0"/>
        <v>6</v>
      </c>
      <c r="W24"/>
    </row>
    <row r="25" spans="1:23" ht="15.75" x14ac:dyDescent="0.25">
      <c r="A25" s="68" t="s">
        <v>23</v>
      </c>
      <c r="B25" s="69">
        <v>1</v>
      </c>
      <c r="C25" s="69"/>
      <c r="D25" s="69"/>
      <c r="E25" s="69"/>
      <c r="F25" s="69">
        <v>1</v>
      </c>
      <c r="G25" s="69"/>
      <c r="H25" s="69"/>
      <c r="I25" s="69">
        <v>1</v>
      </c>
      <c r="J25" s="69">
        <v>1</v>
      </c>
      <c r="K25" s="69"/>
      <c r="L25" s="69">
        <v>1</v>
      </c>
      <c r="M25" s="69">
        <v>1</v>
      </c>
      <c r="N25" s="69"/>
      <c r="O25" s="70">
        <f t="shared" si="0"/>
        <v>6</v>
      </c>
      <c r="W25"/>
    </row>
    <row r="26" spans="1:23" ht="15.75" x14ac:dyDescent="0.25">
      <c r="A26" s="68" t="s">
        <v>96</v>
      </c>
      <c r="B26" s="69">
        <v>1</v>
      </c>
      <c r="C26" s="69">
        <v>1</v>
      </c>
      <c r="D26" s="69">
        <v>2</v>
      </c>
      <c r="E26" s="69"/>
      <c r="F26" s="69"/>
      <c r="G26" s="69"/>
      <c r="H26" s="69">
        <v>1</v>
      </c>
      <c r="I26" s="69">
        <v>1</v>
      </c>
      <c r="J26" s="69">
        <v>1</v>
      </c>
      <c r="K26" s="69"/>
      <c r="L26" s="69">
        <v>1</v>
      </c>
      <c r="M26" s="69">
        <v>1</v>
      </c>
      <c r="N26" s="69"/>
      <c r="O26" s="70">
        <f t="shared" si="0"/>
        <v>9</v>
      </c>
      <c r="W26"/>
    </row>
    <row r="27" spans="1:23" ht="15.75" x14ac:dyDescent="0.25">
      <c r="A27" s="68" t="s">
        <v>49</v>
      </c>
      <c r="B27" s="69">
        <v>1</v>
      </c>
      <c r="C27" s="69"/>
      <c r="D27" s="69"/>
      <c r="E27" s="69"/>
      <c r="F27" s="69">
        <v>1</v>
      </c>
      <c r="G27" s="69"/>
      <c r="H27" s="69"/>
      <c r="I27" s="69">
        <v>1</v>
      </c>
      <c r="J27" s="69">
        <v>1</v>
      </c>
      <c r="K27" s="69"/>
      <c r="L27" s="69">
        <v>1</v>
      </c>
      <c r="M27" s="69">
        <v>1</v>
      </c>
      <c r="N27" s="69"/>
      <c r="O27" s="70">
        <f t="shared" si="0"/>
        <v>6</v>
      </c>
      <c r="W27"/>
    </row>
    <row r="28" spans="1:23" ht="15.75" x14ac:dyDescent="0.25">
      <c r="A28" s="68" t="s">
        <v>71</v>
      </c>
      <c r="B28" s="69">
        <v>1</v>
      </c>
      <c r="C28" s="69"/>
      <c r="D28" s="69"/>
      <c r="E28" s="69"/>
      <c r="F28" s="69">
        <v>1</v>
      </c>
      <c r="G28" s="69"/>
      <c r="H28" s="69"/>
      <c r="I28" s="69">
        <v>1</v>
      </c>
      <c r="J28" s="69">
        <v>1</v>
      </c>
      <c r="K28" s="69"/>
      <c r="L28" s="69">
        <v>1</v>
      </c>
      <c r="M28" s="69">
        <v>1</v>
      </c>
      <c r="N28" s="69"/>
      <c r="O28" s="70">
        <f t="shared" si="0"/>
        <v>6</v>
      </c>
      <c r="W28"/>
    </row>
    <row r="29" spans="1:23" ht="15.75" x14ac:dyDescent="0.25">
      <c r="A29" s="68" t="s">
        <v>85</v>
      </c>
      <c r="B29" s="69">
        <v>1</v>
      </c>
      <c r="C29" s="69"/>
      <c r="D29" s="69"/>
      <c r="E29" s="69"/>
      <c r="F29" s="69">
        <v>1</v>
      </c>
      <c r="G29" s="69"/>
      <c r="H29" s="69"/>
      <c r="I29" s="69">
        <v>1</v>
      </c>
      <c r="J29" s="69">
        <v>1</v>
      </c>
      <c r="K29" s="69">
        <v>1</v>
      </c>
      <c r="L29" s="69">
        <v>1</v>
      </c>
      <c r="M29" s="69">
        <v>1</v>
      </c>
      <c r="N29" s="69"/>
      <c r="O29" s="70">
        <f t="shared" si="0"/>
        <v>7</v>
      </c>
      <c r="W29"/>
    </row>
    <row r="30" spans="1:23" ht="15.75" x14ac:dyDescent="0.25">
      <c r="A30" s="68" t="s">
        <v>86</v>
      </c>
      <c r="B30" s="69">
        <v>1</v>
      </c>
      <c r="C30" s="69"/>
      <c r="D30" s="69">
        <v>2</v>
      </c>
      <c r="E30" s="69"/>
      <c r="F30" s="69"/>
      <c r="G30" s="69">
        <v>1</v>
      </c>
      <c r="H30" s="69">
        <v>1</v>
      </c>
      <c r="I30" s="69">
        <v>1</v>
      </c>
      <c r="J30" s="69">
        <v>1</v>
      </c>
      <c r="K30" s="69">
        <v>1</v>
      </c>
      <c r="L30" s="69">
        <v>1</v>
      </c>
      <c r="M30" s="69">
        <v>1</v>
      </c>
      <c r="N30" s="69">
        <v>2</v>
      </c>
      <c r="O30" s="70">
        <f t="shared" si="0"/>
        <v>12</v>
      </c>
      <c r="W30"/>
    </row>
    <row r="31" spans="1:23" ht="15.75" x14ac:dyDescent="0.25">
      <c r="A31" s="68" t="s">
        <v>27</v>
      </c>
      <c r="B31" s="69">
        <v>1</v>
      </c>
      <c r="C31" s="69"/>
      <c r="D31" s="69"/>
      <c r="E31" s="69">
        <v>2</v>
      </c>
      <c r="F31" s="69">
        <v>1</v>
      </c>
      <c r="G31" s="69"/>
      <c r="H31" s="69"/>
      <c r="I31" s="69">
        <v>1</v>
      </c>
      <c r="J31" s="69">
        <v>1</v>
      </c>
      <c r="K31" s="69">
        <v>1</v>
      </c>
      <c r="L31" s="69">
        <v>1</v>
      </c>
      <c r="M31" s="69">
        <v>1</v>
      </c>
      <c r="N31" s="69"/>
      <c r="O31" s="70">
        <f t="shared" si="0"/>
        <v>9</v>
      </c>
      <c r="W31"/>
    </row>
    <row r="32" spans="1:23" ht="15.75" x14ac:dyDescent="0.25">
      <c r="A32" s="68" t="s">
        <v>87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70">
        <f t="shared" si="0"/>
        <v>0</v>
      </c>
      <c r="W32"/>
    </row>
    <row r="33" spans="1:23" ht="15.75" x14ac:dyDescent="0.25">
      <c r="A33" s="68" t="s">
        <v>63</v>
      </c>
      <c r="B33" s="69">
        <v>1</v>
      </c>
      <c r="C33" s="69"/>
      <c r="D33" s="69"/>
      <c r="E33" s="69"/>
      <c r="F33" s="69">
        <v>1</v>
      </c>
      <c r="G33" s="69"/>
      <c r="H33" s="69"/>
      <c r="I33" s="69">
        <v>1</v>
      </c>
      <c r="J33" s="69">
        <v>1</v>
      </c>
      <c r="K33" s="69">
        <v>1</v>
      </c>
      <c r="L33" s="69"/>
      <c r="M33" s="69">
        <v>1</v>
      </c>
      <c r="N33" s="69"/>
      <c r="O33" s="70">
        <f t="shared" si="0"/>
        <v>6</v>
      </c>
      <c r="W33"/>
    </row>
    <row r="34" spans="1:23" ht="15.75" x14ac:dyDescent="0.25">
      <c r="A34" s="68" t="s">
        <v>69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70">
        <f t="shared" si="0"/>
        <v>0</v>
      </c>
      <c r="W34"/>
    </row>
    <row r="35" spans="1:23" ht="15.75" x14ac:dyDescent="0.25">
      <c r="A35" s="68" t="s">
        <v>65</v>
      </c>
      <c r="B35" s="69">
        <v>1</v>
      </c>
      <c r="C35" s="69"/>
      <c r="D35" s="69"/>
      <c r="E35" s="69"/>
      <c r="F35" s="69">
        <v>1</v>
      </c>
      <c r="G35" s="69"/>
      <c r="H35" s="69"/>
      <c r="I35" s="69">
        <v>1</v>
      </c>
      <c r="J35" s="69">
        <v>1</v>
      </c>
      <c r="K35" s="69"/>
      <c r="L35" s="69">
        <v>1</v>
      </c>
      <c r="M35" s="69">
        <v>1</v>
      </c>
      <c r="N35" s="69"/>
      <c r="O35" s="70">
        <f t="shared" si="0"/>
        <v>6</v>
      </c>
      <c r="W35"/>
    </row>
    <row r="36" spans="1:23" ht="15.75" x14ac:dyDescent="0.25">
      <c r="A36" s="68" t="s">
        <v>100</v>
      </c>
      <c r="B36" s="69"/>
      <c r="C36" s="69">
        <v>1</v>
      </c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70">
        <f t="shared" si="0"/>
        <v>1</v>
      </c>
      <c r="W36"/>
    </row>
    <row r="37" spans="1:23" ht="15.75" x14ac:dyDescent="0.25">
      <c r="A37" s="68" t="s">
        <v>89</v>
      </c>
      <c r="B37" s="69">
        <v>1</v>
      </c>
      <c r="C37" s="69"/>
      <c r="D37" s="69"/>
      <c r="E37" s="69"/>
      <c r="F37" s="69"/>
      <c r="G37" s="69"/>
      <c r="H37" s="69"/>
      <c r="I37" s="69">
        <v>1</v>
      </c>
      <c r="J37" s="69"/>
      <c r="K37" s="69"/>
      <c r="L37" s="69">
        <v>1</v>
      </c>
      <c r="M37" s="69">
        <v>1</v>
      </c>
      <c r="N37" s="69"/>
      <c r="O37" s="70">
        <f t="shared" si="0"/>
        <v>4</v>
      </c>
      <c r="W37"/>
    </row>
    <row r="38" spans="1:23" ht="15.75" x14ac:dyDescent="0.25">
      <c r="A38" s="68" t="s">
        <v>72</v>
      </c>
      <c r="B38" s="69">
        <v>1</v>
      </c>
      <c r="C38" s="69"/>
      <c r="D38" s="69"/>
      <c r="E38" s="69"/>
      <c r="F38" s="69">
        <v>1</v>
      </c>
      <c r="G38" s="69"/>
      <c r="H38" s="69"/>
      <c r="I38" s="69">
        <v>1</v>
      </c>
      <c r="J38" s="69">
        <v>1</v>
      </c>
      <c r="K38" s="69"/>
      <c r="L38" s="69">
        <v>1</v>
      </c>
      <c r="M38" s="69">
        <v>1</v>
      </c>
      <c r="N38" s="69"/>
      <c r="O38" s="70">
        <f t="shared" si="0"/>
        <v>6</v>
      </c>
      <c r="W38"/>
    </row>
    <row r="39" spans="1:23" ht="15.75" x14ac:dyDescent="0.25">
      <c r="A39" s="68" t="s">
        <v>98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>
        <v>1</v>
      </c>
      <c r="N39" s="69">
        <v>2</v>
      </c>
      <c r="O39" s="70">
        <f t="shared" si="0"/>
        <v>3</v>
      </c>
      <c r="W39"/>
    </row>
    <row r="40" spans="1:23" ht="15.75" x14ac:dyDescent="0.25">
      <c r="A40" s="68" t="s">
        <v>70</v>
      </c>
      <c r="B40" s="69">
        <v>1</v>
      </c>
      <c r="C40" s="69"/>
      <c r="D40" s="69"/>
      <c r="E40" s="69"/>
      <c r="F40" s="69">
        <v>1</v>
      </c>
      <c r="G40" s="69"/>
      <c r="H40" s="69"/>
      <c r="I40" s="69">
        <v>1</v>
      </c>
      <c r="J40" s="69">
        <v>1</v>
      </c>
      <c r="K40" s="69"/>
      <c r="L40" s="69">
        <v>1</v>
      </c>
      <c r="M40" s="69">
        <v>1</v>
      </c>
      <c r="N40" s="69"/>
      <c r="O40" s="70">
        <f t="shared" si="0"/>
        <v>6</v>
      </c>
      <c r="W40"/>
    </row>
    <row r="41" spans="1:23" ht="15.75" x14ac:dyDescent="0.25">
      <c r="A41" s="68" t="s">
        <v>88</v>
      </c>
      <c r="B41" s="69">
        <v>1</v>
      </c>
      <c r="C41" s="69"/>
      <c r="D41" s="69"/>
      <c r="E41" s="69"/>
      <c r="F41" s="69">
        <v>1</v>
      </c>
      <c r="G41" s="69"/>
      <c r="H41" s="69"/>
      <c r="I41" s="69"/>
      <c r="J41" s="69">
        <v>1</v>
      </c>
      <c r="K41" s="69"/>
      <c r="L41" s="69">
        <v>1</v>
      </c>
      <c r="M41" s="69">
        <v>1</v>
      </c>
      <c r="N41" s="69"/>
      <c r="O41" s="70">
        <f t="shared" si="0"/>
        <v>5</v>
      </c>
      <c r="W41"/>
    </row>
    <row r="42" spans="1:23" ht="15.75" x14ac:dyDescent="0.25">
      <c r="A42" s="68" t="s">
        <v>90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70">
        <f t="shared" si="0"/>
        <v>0</v>
      </c>
      <c r="W42"/>
    </row>
    <row r="43" spans="1:23" ht="15.75" x14ac:dyDescent="0.25">
      <c r="A43" s="68" t="s">
        <v>24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70">
        <f t="shared" si="0"/>
        <v>0</v>
      </c>
      <c r="W43"/>
    </row>
    <row r="44" spans="1:23" ht="15.75" x14ac:dyDescent="0.25">
      <c r="A44" s="95" t="s">
        <v>93</v>
      </c>
      <c r="B44" s="69">
        <v>1</v>
      </c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70">
        <f t="shared" si="0"/>
        <v>1</v>
      </c>
      <c r="W44"/>
    </row>
    <row r="45" spans="1:23" ht="15.75" x14ac:dyDescent="0.25">
      <c r="A45" s="72" t="s">
        <v>25</v>
      </c>
      <c r="B45" s="73">
        <f>SUM(B2:B44)</f>
        <v>33</v>
      </c>
      <c r="C45" s="73">
        <f t="shared" ref="C45" si="1">SUM(C2:C44)</f>
        <v>4</v>
      </c>
      <c r="D45" s="73">
        <f>SUM(D2:D44)</f>
        <v>6</v>
      </c>
      <c r="E45" s="73">
        <f t="shared" ref="E45:F45" si="2">SUM(E2:E44)</f>
        <v>4</v>
      </c>
      <c r="F45" s="73">
        <f t="shared" si="2"/>
        <v>22</v>
      </c>
      <c r="G45" s="73">
        <f t="shared" ref="G45" si="3">SUM(G2:G44)</f>
        <v>4</v>
      </c>
      <c r="H45" s="73">
        <f t="shared" ref="H45" si="4">SUM(H2:H44)</f>
        <v>3</v>
      </c>
      <c r="I45" s="73">
        <f t="shared" ref="I45" si="5">SUM(I2:I44)</f>
        <v>29</v>
      </c>
      <c r="J45" s="73">
        <f t="shared" ref="J45" si="6">SUM(J2:J44)</f>
        <v>29</v>
      </c>
      <c r="K45" s="73">
        <f t="shared" ref="K45" si="7">SUM(K2:K44)</f>
        <v>9</v>
      </c>
      <c r="L45" s="73">
        <f t="shared" ref="L45" si="8">SUM(L2:L44)</f>
        <v>27</v>
      </c>
      <c r="M45" s="73">
        <f t="shared" ref="M45" si="9">SUM(M2:M44)</f>
        <v>28</v>
      </c>
      <c r="N45" s="73">
        <f t="shared" ref="N45" si="10">SUM(N2:N44)</f>
        <v>8</v>
      </c>
      <c r="O45" s="74">
        <f>SUM(B45:N45)</f>
        <v>206</v>
      </c>
      <c r="W4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6"/>
  <sheetViews>
    <sheetView topLeftCell="E1" zoomScale="70" zoomScaleNormal="70" workbookViewId="0">
      <selection activeCell="T3" sqref="T3"/>
    </sheetView>
  </sheetViews>
  <sheetFormatPr defaultRowHeight="15" x14ac:dyDescent="0.25"/>
  <cols>
    <col min="1" max="1" width="51.85546875" customWidth="1"/>
    <col min="2" max="26" width="14.140625" customWidth="1"/>
    <col min="27" max="27" width="18.28515625" style="5" bestFit="1" customWidth="1"/>
    <col min="28" max="28" width="25.7109375" customWidth="1"/>
  </cols>
  <sheetData>
    <row r="1" spans="1:27" s="61" customFormat="1" ht="15.75" x14ac:dyDescent="0.25">
      <c r="A1" s="66" t="s">
        <v>19</v>
      </c>
      <c r="B1" s="67">
        <v>46118</v>
      </c>
      <c r="C1" s="67">
        <v>46125</v>
      </c>
      <c r="D1" s="67">
        <v>46125</v>
      </c>
      <c r="E1" s="67">
        <v>46128</v>
      </c>
      <c r="F1" s="67">
        <v>46129</v>
      </c>
      <c r="G1" s="67">
        <v>46129</v>
      </c>
      <c r="H1" s="67">
        <v>46129</v>
      </c>
      <c r="I1" s="67">
        <v>46132</v>
      </c>
      <c r="J1" s="67">
        <v>46133</v>
      </c>
      <c r="K1" s="67">
        <v>46135</v>
      </c>
      <c r="L1" s="67">
        <v>46135</v>
      </c>
      <c r="M1" s="67">
        <v>46135</v>
      </c>
      <c r="N1" s="67">
        <v>46136</v>
      </c>
      <c r="O1" s="67">
        <v>46136</v>
      </c>
      <c r="P1" s="67">
        <v>46133</v>
      </c>
      <c r="Q1" s="67">
        <v>46140</v>
      </c>
      <c r="R1" s="67">
        <v>46140</v>
      </c>
      <c r="S1" s="66" t="s">
        <v>25</v>
      </c>
      <c r="T1" s="66" t="s">
        <v>25</v>
      </c>
    </row>
    <row r="2" spans="1:27" ht="15.75" x14ac:dyDescent="0.25">
      <c r="A2" s="68" t="s">
        <v>73</v>
      </c>
      <c r="B2" s="69">
        <v>1</v>
      </c>
      <c r="C2" s="69">
        <v>1</v>
      </c>
      <c r="D2" s="69"/>
      <c r="E2" s="69"/>
      <c r="F2" s="69"/>
      <c r="G2" s="69"/>
      <c r="H2" s="69">
        <v>1</v>
      </c>
      <c r="I2" s="69"/>
      <c r="J2" s="69">
        <v>1</v>
      </c>
      <c r="K2" s="69"/>
      <c r="L2" s="69"/>
      <c r="M2" s="69"/>
      <c r="N2" s="69">
        <v>1</v>
      </c>
      <c r="O2" s="69">
        <v>1</v>
      </c>
      <c r="P2" s="69">
        <v>1</v>
      </c>
      <c r="Q2" s="69"/>
      <c r="R2" s="69"/>
      <c r="S2" s="70">
        <f t="shared" ref="S2:S45" si="0">SUM(B2:R2)</f>
        <v>7</v>
      </c>
      <c r="T2" s="71">
        <f>COUNTA(B1:R1)</f>
        <v>17</v>
      </c>
      <c r="AA2"/>
    </row>
    <row r="3" spans="1:27" ht="15.75" x14ac:dyDescent="0.25">
      <c r="A3" s="68" t="s">
        <v>74</v>
      </c>
      <c r="B3" s="69">
        <v>0</v>
      </c>
      <c r="C3" s="69">
        <v>1</v>
      </c>
      <c r="D3" s="69">
        <v>2</v>
      </c>
      <c r="E3" s="69"/>
      <c r="F3" s="69"/>
      <c r="G3" s="69"/>
      <c r="H3" s="69"/>
      <c r="I3" s="69">
        <v>2</v>
      </c>
      <c r="J3" s="69">
        <v>1</v>
      </c>
      <c r="K3" s="69"/>
      <c r="L3" s="69">
        <v>2</v>
      </c>
      <c r="M3" s="69"/>
      <c r="N3" s="69">
        <v>1</v>
      </c>
      <c r="O3" s="69"/>
      <c r="P3" s="69">
        <v>1</v>
      </c>
      <c r="Q3" s="69">
        <v>2</v>
      </c>
      <c r="R3" s="69"/>
      <c r="S3" s="70">
        <f t="shared" si="0"/>
        <v>12</v>
      </c>
      <c r="AA3"/>
    </row>
    <row r="4" spans="1:27" ht="15.75" x14ac:dyDescent="0.25">
      <c r="A4" s="68" t="s">
        <v>75</v>
      </c>
      <c r="B4" s="69">
        <v>1</v>
      </c>
      <c r="C4" s="69">
        <v>1</v>
      </c>
      <c r="D4" s="69"/>
      <c r="E4" s="69"/>
      <c r="F4" s="69"/>
      <c r="G4" s="69"/>
      <c r="H4" s="69"/>
      <c r="I4" s="69"/>
      <c r="J4" s="69">
        <v>1</v>
      </c>
      <c r="K4" s="69"/>
      <c r="L4" s="69"/>
      <c r="M4" s="69">
        <v>2</v>
      </c>
      <c r="N4" s="69"/>
      <c r="O4" s="69">
        <v>1</v>
      </c>
      <c r="P4" s="69">
        <v>1</v>
      </c>
      <c r="Q4" s="69"/>
      <c r="R4" s="69"/>
      <c r="S4" s="70">
        <f t="shared" si="0"/>
        <v>7</v>
      </c>
      <c r="AA4"/>
    </row>
    <row r="5" spans="1:27" ht="15.75" x14ac:dyDescent="0.25">
      <c r="A5" s="68" t="s">
        <v>64</v>
      </c>
      <c r="B5" s="69">
        <v>0</v>
      </c>
      <c r="C5" s="69">
        <v>1</v>
      </c>
      <c r="D5" s="69"/>
      <c r="E5" s="69"/>
      <c r="F5" s="69"/>
      <c r="G5" s="69"/>
      <c r="H5" s="69">
        <v>1</v>
      </c>
      <c r="I5" s="69"/>
      <c r="J5" s="69">
        <v>1</v>
      </c>
      <c r="K5" s="69"/>
      <c r="L5" s="69"/>
      <c r="M5" s="69"/>
      <c r="N5" s="69"/>
      <c r="O5" s="69">
        <v>1</v>
      </c>
      <c r="P5" s="69">
        <v>1</v>
      </c>
      <c r="Q5" s="69"/>
      <c r="R5" s="69"/>
      <c r="S5" s="70">
        <f t="shared" si="0"/>
        <v>5</v>
      </c>
      <c r="AA5"/>
    </row>
    <row r="6" spans="1:27" ht="15.75" x14ac:dyDescent="0.25">
      <c r="A6" s="68" t="s">
        <v>66</v>
      </c>
      <c r="B6" s="69">
        <v>0</v>
      </c>
      <c r="C6" s="69">
        <v>0</v>
      </c>
      <c r="D6" s="69"/>
      <c r="E6" s="69"/>
      <c r="F6" s="69"/>
      <c r="G6" s="69"/>
      <c r="H6" s="69"/>
      <c r="I6" s="69"/>
      <c r="J6" s="69">
        <v>0</v>
      </c>
      <c r="K6" s="69"/>
      <c r="L6" s="69"/>
      <c r="M6" s="69"/>
      <c r="N6" s="69"/>
      <c r="O6" s="69"/>
      <c r="P6" s="69">
        <v>0</v>
      </c>
      <c r="Q6" s="69"/>
      <c r="R6" s="69"/>
      <c r="S6" s="70">
        <f t="shared" si="0"/>
        <v>0</v>
      </c>
      <c r="AA6"/>
    </row>
    <row r="7" spans="1:27" ht="15.75" x14ac:dyDescent="0.25">
      <c r="A7" s="68" t="s">
        <v>50</v>
      </c>
      <c r="B7" s="69">
        <v>1</v>
      </c>
      <c r="C7" s="69">
        <v>1</v>
      </c>
      <c r="D7" s="69"/>
      <c r="E7" s="69"/>
      <c r="F7" s="69"/>
      <c r="G7" s="69">
        <v>1</v>
      </c>
      <c r="H7" s="69"/>
      <c r="I7" s="69"/>
      <c r="J7" s="69">
        <v>1</v>
      </c>
      <c r="K7" s="69"/>
      <c r="L7" s="69"/>
      <c r="M7" s="69"/>
      <c r="N7" s="69">
        <v>1</v>
      </c>
      <c r="O7" s="69"/>
      <c r="P7" s="69">
        <v>1</v>
      </c>
      <c r="Q7" s="69"/>
      <c r="R7" s="69"/>
      <c r="S7" s="70">
        <f t="shared" si="0"/>
        <v>6</v>
      </c>
      <c r="AA7"/>
    </row>
    <row r="8" spans="1:27" ht="15.75" x14ac:dyDescent="0.25">
      <c r="A8" s="68" t="s">
        <v>20</v>
      </c>
      <c r="B8" s="69">
        <v>0</v>
      </c>
      <c r="C8" s="69">
        <v>0</v>
      </c>
      <c r="D8" s="69"/>
      <c r="E8" s="69"/>
      <c r="F8" s="69"/>
      <c r="G8" s="69"/>
      <c r="H8" s="69"/>
      <c r="I8" s="69"/>
      <c r="J8" s="69">
        <v>0</v>
      </c>
      <c r="K8" s="69"/>
      <c r="L8" s="69"/>
      <c r="M8" s="69"/>
      <c r="N8" s="69"/>
      <c r="O8" s="69"/>
      <c r="P8" s="69">
        <v>0</v>
      </c>
      <c r="Q8" s="69"/>
      <c r="R8" s="69"/>
      <c r="S8" s="70">
        <f t="shared" si="0"/>
        <v>0</v>
      </c>
      <c r="AA8"/>
    </row>
    <row r="9" spans="1:27" ht="15.75" x14ac:dyDescent="0.25">
      <c r="A9" s="97" t="s">
        <v>77</v>
      </c>
      <c r="B9" s="69">
        <v>0</v>
      </c>
      <c r="C9" s="69">
        <v>0</v>
      </c>
      <c r="D9" s="69"/>
      <c r="E9" s="69"/>
      <c r="F9" s="69"/>
      <c r="G9" s="69"/>
      <c r="H9" s="69"/>
      <c r="I9" s="69"/>
      <c r="J9" s="69">
        <v>0</v>
      </c>
      <c r="K9" s="69"/>
      <c r="L9" s="69"/>
      <c r="M9" s="69"/>
      <c r="N9" s="69"/>
      <c r="O9" s="69"/>
      <c r="P9" s="69">
        <v>0</v>
      </c>
      <c r="Q9" s="69"/>
      <c r="R9" s="69"/>
      <c r="S9" s="70">
        <f t="shared" si="0"/>
        <v>0</v>
      </c>
      <c r="AA9"/>
    </row>
    <row r="10" spans="1:27" ht="15.75" x14ac:dyDescent="0.25">
      <c r="A10" s="68" t="s">
        <v>67</v>
      </c>
      <c r="B10" s="69">
        <v>0</v>
      </c>
      <c r="C10" s="69">
        <v>0</v>
      </c>
      <c r="D10" s="69"/>
      <c r="E10" s="69"/>
      <c r="F10" s="69">
        <v>1</v>
      </c>
      <c r="G10" s="69">
        <v>1</v>
      </c>
      <c r="H10" s="69"/>
      <c r="I10" s="69"/>
      <c r="J10" s="69">
        <v>0</v>
      </c>
      <c r="K10" s="69"/>
      <c r="L10" s="69"/>
      <c r="M10" s="69">
        <v>2</v>
      </c>
      <c r="N10" s="69"/>
      <c r="O10" s="69"/>
      <c r="P10" s="69">
        <v>0</v>
      </c>
      <c r="Q10" s="69"/>
      <c r="R10" s="69"/>
      <c r="S10" s="70">
        <f t="shared" si="0"/>
        <v>4</v>
      </c>
      <c r="AA10"/>
    </row>
    <row r="11" spans="1:27" ht="15.75" x14ac:dyDescent="0.25">
      <c r="A11" s="68" t="s">
        <v>68</v>
      </c>
      <c r="B11" s="69">
        <v>0</v>
      </c>
      <c r="C11" s="69">
        <v>0</v>
      </c>
      <c r="D11" s="69">
        <v>2</v>
      </c>
      <c r="E11" s="69"/>
      <c r="F11" s="69"/>
      <c r="G11" s="69"/>
      <c r="H11" s="69"/>
      <c r="I11" s="69">
        <v>2</v>
      </c>
      <c r="J11" s="69">
        <v>0</v>
      </c>
      <c r="K11" s="69"/>
      <c r="L11" s="69">
        <v>2</v>
      </c>
      <c r="M11" s="69"/>
      <c r="N11" s="69"/>
      <c r="O11" s="69"/>
      <c r="P11" s="69">
        <v>0</v>
      </c>
      <c r="Q11" s="69">
        <v>2</v>
      </c>
      <c r="R11" s="69"/>
      <c r="S11" s="70">
        <f t="shared" si="0"/>
        <v>8</v>
      </c>
      <c r="AA11"/>
    </row>
    <row r="12" spans="1:27" ht="15.75" x14ac:dyDescent="0.25">
      <c r="A12" s="68" t="s">
        <v>22</v>
      </c>
      <c r="B12" s="69">
        <v>1</v>
      </c>
      <c r="C12" s="69">
        <v>1</v>
      </c>
      <c r="D12" s="69"/>
      <c r="E12" s="69"/>
      <c r="F12" s="69" t="s">
        <v>99</v>
      </c>
      <c r="G12" s="69">
        <v>1</v>
      </c>
      <c r="H12" s="69"/>
      <c r="I12" s="69"/>
      <c r="J12" s="69">
        <v>1</v>
      </c>
      <c r="K12" s="69"/>
      <c r="L12" s="69"/>
      <c r="M12" s="69"/>
      <c r="N12" s="69">
        <v>1</v>
      </c>
      <c r="O12" s="69">
        <v>1</v>
      </c>
      <c r="P12" s="69">
        <v>1</v>
      </c>
      <c r="Q12" s="69"/>
      <c r="R12" s="69"/>
      <c r="S12" s="70">
        <f t="shared" si="0"/>
        <v>7</v>
      </c>
      <c r="AA12"/>
    </row>
    <row r="13" spans="1:27" ht="15.75" x14ac:dyDescent="0.25">
      <c r="A13" s="68" t="s">
        <v>78</v>
      </c>
      <c r="B13" s="69">
        <v>1</v>
      </c>
      <c r="C13" s="69">
        <v>1</v>
      </c>
      <c r="D13" s="69"/>
      <c r="E13" s="69"/>
      <c r="F13" s="69"/>
      <c r="G13" s="69"/>
      <c r="H13" s="69"/>
      <c r="I13" s="69"/>
      <c r="J13" s="69">
        <v>1</v>
      </c>
      <c r="K13" s="69"/>
      <c r="L13" s="69"/>
      <c r="M13" s="69"/>
      <c r="N13" s="69"/>
      <c r="O13" s="69"/>
      <c r="P13" s="69">
        <v>1</v>
      </c>
      <c r="Q13" s="69"/>
      <c r="R13" s="69"/>
      <c r="S13" s="70">
        <f t="shared" si="0"/>
        <v>4</v>
      </c>
      <c r="AA13"/>
    </row>
    <row r="14" spans="1:27" ht="15.75" x14ac:dyDescent="0.25">
      <c r="A14" s="68" t="s">
        <v>103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>
        <v>2</v>
      </c>
      <c r="R14" s="69">
        <v>0.5</v>
      </c>
      <c r="S14" s="70">
        <f t="shared" si="0"/>
        <v>2.5</v>
      </c>
      <c r="AA14"/>
    </row>
    <row r="15" spans="1:27" ht="15.75" x14ac:dyDescent="0.25">
      <c r="A15" s="68" t="s">
        <v>62</v>
      </c>
      <c r="B15" s="69">
        <v>1</v>
      </c>
      <c r="C15" s="69">
        <v>1</v>
      </c>
      <c r="D15" s="69"/>
      <c r="E15" s="69"/>
      <c r="F15" s="69"/>
      <c r="G15" s="69"/>
      <c r="H15" s="69"/>
      <c r="I15" s="69"/>
      <c r="J15" s="69">
        <v>1</v>
      </c>
      <c r="K15" s="69"/>
      <c r="L15" s="69"/>
      <c r="M15" s="69">
        <v>2</v>
      </c>
      <c r="N15" s="69"/>
      <c r="O15" s="69">
        <v>1</v>
      </c>
      <c r="P15" s="69">
        <v>1</v>
      </c>
      <c r="Q15" s="69"/>
      <c r="R15" s="69"/>
      <c r="S15" s="70">
        <f t="shared" si="0"/>
        <v>7</v>
      </c>
      <c r="AA15"/>
    </row>
    <row r="16" spans="1:27" ht="15.75" x14ac:dyDescent="0.25">
      <c r="A16" s="97" t="s">
        <v>79</v>
      </c>
      <c r="B16" s="69">
        <v>0</v>
      </c>
      <c r="C16" s="69">
        <v>0</v>
      </c>
      <c r="D16" s="69"/>
      <c r="E16" s="69"/>
      <c r="F16" s="69"/>
      <c r="G16" s="69"/>
      <c r="H16" s="69"/>
      <c r="I16" s="69"/>
      <c r="J16" s="69">
        <v>0</v>
      </c>
      <c r="K16" s="69"/>
      <c r="L16" s="69"/>
      <c r="M16" s="69"/>
      <c r="N16" s="69"/>
      <c r="O16" s="69"/>
      <c r="P16" s="69">
        <v>0</v>
      </c>
      <c r="Q16" s="69"/>
      <c r="R16" s="69"/>
      <c r="S16" s="70">
        <f t="shared" si="0"/>
        <v>0</v>
      </c>
      <c r="AA16"/>
    </row>
    <row r="17" spans="1:27" ht="15.75" x14ac:dyDescent="0.25">
      <c r="A17" s="68" t="s">
        <v>81</v>
      </c>
      <c r="B17" s="69">
        <v>1</v>
      </c>
      <c r="C17" s="69">
        <v>1</v>
      </c>
      <c r="D17" s="69"/>
      <c r="E17" s="69"/>
      <c r="F17" s="69"/>
      <c r="G17" s="69">
        <v>1</v>
      </c>
      <c r="H17" s="69"/>
      <c r="I17" s="69"/>
      <c r="J17" s="69">
        <v>1</v>
      </c>
      <c r="K17" s="69"/>
      <c r="L17" s="69"/>
      <c r="M17" s="69"/>
      <c r="N17" s="69">
        <v>1</v>
      </c>
      <c r="O17" s="69">
        <v>1</v>
      </c>
      <c r="P17" s="69">
        <v>1</v>
      </c>
      <c r="Q17" s="69"/>
      <c r="R17" s="69"/>
      <c r="S17" s="70">
        <f t="shared" si="0"/>
        <v>7</v>
      </c>
      <c r="AA17"/>
    </row>
    <row r="18" spans="1:27" ht="15.75" x14ac:dyDescent="0.25">
      <c r="A18" s="68" t="s">
        <v>104</v>
      </c>
      <c r="B18" s="69"/>
      <c r="C18" s="69">
        <v>1</v>
      </c>
      <c r="D18" s="69">
        <v>2</v>
      </c>
      <c r="E18" s="69">
        <v>0.5</v>
      </c>
      <c r="F18" s="69"/>
      <c r="G18" s="69">
        <v>1</v>
      </c>
      <c r="H18" s="69">
        <v>1</v>
      </c>
      <c r="I18" s="69"/>
      <c r="J18" s="69">
        <v>1</v>
      </c>
      <c r="K18" s="69"/>
      <c r="L18" s="69"/>
      <c r="M18" s="69"/>
      <c r="N18" s="69">
        <v>1</v>
      </c>
      <c r="O18" s="69">
        <v>1</v>
      </c>
      <c r="P18" s="69">
        <v>1</v>
      </c>
      <c r="Q18" s="69"/>
      <c r="R18" s="69"/>
      <c r="S18" s="70">
        <f t="shared" si="0"/>
        <v>9.5</v>
      </c>
      <c r="AA18"/>
    </row>
    <row r="19" spans="1:27" ht="15.75" x14ac:dyDescent="0.25">
      <c r="A19" s="68" t="s">
        <v>82</v>
      </c>
      <c r="B19" s="69">
        <v>1</v>
      </c>
      <c r="C19" s="69">
        <v>1</v>
      </c>
      <c r="D19" s="69"/>
      <c r="E19" s="69"/>
      <c r="F19" s="69">
        <v>1</v>
      </c>
      <c r="G19" s="69"/>
      <c r="H19" s="69"/>
      <c r="I19" s="69"/>
      <c r="J19" s="69">
        <v>1</v>
      </c>
      <c r="K19" s="69"/>
      <c r="L19" s="69"/>
      <c r="M19" s="69"/>
      <c r="N19" s="69">
        <v>1</v>
      </c>
      <c r="O19" s="69">
        <v>1</v>
      </c>
      <c r="P19" s="69">
        <v>1</v>
      </c>
      <c r="Q19" s="69"/>
      <c r="R19" s="69"/>
      <c r="S19" s="70">
        <f t="shared" si="0"/>
        <v>7</v>
      </c>
      <c r="AA19"/>
    </row>
    <row r="20" spans="1:27" ht="15.75" x14ac:dyDescent="0.25">
      <c r="A20" s="68" t="s">
        <v>26</v>
      </c>
      <c r="B20" s="69">
        <v>1</v>
      </c>
      <c r="C20" s="69">
        <v>1</v>
      </c>
      <c r="D20" s="69"/>
      <c r="E20" s="69"/>
      <c r="F20" s="69">
        <v>1</v>
      </c>
      <c r="G20" s="69"/>
      <c r="H20" s="69"/>
      <c r="I20" s="69"/>
      <c r="J20" s="69">
        <v>1</v>
      </c>
      <c r="K20" s="69"/>
      <c r="L20" s="69"/>
      <c r="M20" s="69"/>
      <c r="N20" s="69">
        <v>1</v>
      </c>
      <c r="O20" s="69">
        <v>1</v>
      </c>
      <c r="P20" s="69">
        <v>1</v>
      </c>
      <c r="Q20" s="69"/>
      <c r="R20" s="69"/>
      <c r="S20" s="70">
        <f t="shared" si="0"/>
        <v>7</v>
      </c>
      <c r="AA20"/>
    </row>
    <row r="21" spans="1:27" ht="15.75" x14ac:dyDescent="0.25">
      <c r="A21" s="68" t="s">
        <v>47</v>
      </c>
      <c r="B21" s="69">
        <v>1</v>
      </c>
      <c r="C21" s="69">
        <v>1</v>
      </c>
      <c r="D21" s="69"/>
      <c r="E21" s="69"/>
      <c r="F21" s="69"/>
      <c r="G21" s="69"/>
      <c r="H21" s="69"/>
      <c r="I21" s="69"/>
      <c r="J21" s="69">
        <v>1</v>
      </c>
      <c r="K21" s="69"/>
      <c r="L21" s="69"/>
      <c r="M21" s="69"/>
      <c r="N21" s="69"/>
      <c r="O21" s="69"/>
      <c r="P21" s="69">
        <v>1</v>
      </c>
      <c r="Q21" s="69"/>
      <c r="R21" s="69"/>
      <c r="S21" s="70">
        <f t="shared" si="0"/>
        <v>4</v>
      </c>
      <c r="AA21"/>
    </row>
    <row r="22" spans="1:27" ht="15.75" x14ac:dyDescent="0.25">
      <c r="A22" s="68" t="s">
        <v>83</v>
      </c>
      <c r="B22" s="69">
        <v>1</v>
      </c>
      <c r="C22" s="69">
        <v>1</v>
      </c>
      <c r="D22" s="69"/>
      <c r="E22" s="69"/>
      <c r="F22" s="69">
        <v>1</v>
      </c>
      <c r="G22" s="69"/>
      <c r="H22" s="69"/>
      <c r="I22" s="69"/>
      <c r="J22" s="69">
        <v>1</v>
      </c>
      <c r="K22" s="69"/>
      <c r="L22" s="69"/>
      <c r="M22" s="69"/>
      <c r="N22" s="69">
        <v>1</v>
      </c>
      <c r="O22" s="69">
        <v>1</v>
      </c>
      <c r="P22" s="69">
        <v>1</v>
      </c>
      <c r="Q22" s="69"/>
      <c r="R22" s="69"/>
      <c r="S22" s="70">
        <f t="shared" si="0"/>
        <v>7</v>
      </c>
      <c r="AA22"/>
    </row>
    <row r="23" spans="1:27" ht="15.75" x14ac:dyDescent="0.25">
      <c r="A23" s="95" t="s">
        <v>48</v>
      </c>
      <c r="B23" s="69">
        <v>1</v>
      </c>
      <c r="C23" s="69">
        <v>1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70">
        <f t="shared" si="0"/>
        <v>2</v>
      </c>
      <c r="AA23"/>
    </row>
    <row r="24" spans="1:27" ht="15.75" x14ac:dyDescent="0.25">
      <c r="A24" s="96" t="s">
        <v>105</v>
      </c>
      <c r="B24" s="69"/>
      <c r="C24" s="69">
        <v>1</v>
      </c>
      <c r="D24" s="69">
        <v>2</v>
      </c>
      <c r="E24" s="69">
        <v>0.5</v>
      </c>
      <c r="F24" s="69"/>
      <c r="G24" s="69"/>
      <c r="H24" s="69">
        <v>1</v>
      </c>
      <c r="I24" s="69"/>
      <c r="J24" s="69">
        <v>1</v>
      </c>
      <c r="K24" s="69"/>
      <c r="L24" s="69"/>
      <c r="M24" s="69"/>
      <c r="N24" s="69">
        <v>1</v>
      </c>
      <c r="O24" s="69">
        <v>1</v>
      </c>
      <c r="P24" s="69">
        <v>1</v>
      </c>
      <c r="Q24" s="69"/>
      <c r="R24" s="69"/>
      <c r="S24" s="70">
        <f t="shared" si="0"/>
        <v>8.5</v>
      </c>
      <c r="AA24"/>
    </row>
    <row r="25" spans="1:27" ht="15.75" x14ac:dyDescent="0.25">
      <c r="A25" s="68" t="s">
        <v>23</v>
      </c>
      <c r="B25" s="69">
        <v>1</v>
      </c>
      <c r="C25" s="69">
        <v>1</v>
      </c>
      <c r="D25" s="69"/>
      <c r="E25" s="69"/>
      <c r="F25" s="69">
        <v>1</v>
      </c>
      <c r="G25" s="69"/>
      <c r="H25" s="69"/>
      <c r="I25" s="69"/>
      <c r="J25" s="69">
        <v>1</v>
      </c>
      <c r="K25" s="69"/>
      <c r="L25" s="69"/>
      <c r="M25" s="69"/>
      <c r="N25" s="69">
        <v>1</v>
      </c>
      <c r="O25" s="69">
        <v>1</v>
      </c>
      <c r="P25" s="69">
        <v>1</v>
      </c>
      <c r="Q25" s="69"/>
      <c r="R25" s="69"/>
      <c r="S25" s="70">
        <f t="shared" si="0"/>
        <v>7</v>
      </c>
      <c r="AA25"/>
    </row>
    <row r="26" spans="1:27" ht="15.75" x14ac:dyDescent="0.25">
      <c r="A26" s="68" t="s">
        <v>96</v>
      </c>
      <c r="B26" s="69">
        <v>1</v>
      </c>
      <c r="C26" s="69">
        <v>1</v>
      </c>
      <c r="D26" s="69"/>
      <c r="E26" s="69"/>
      <c r="F26" s="69"/>
      <c r="G26" s="69"/>
      <c r="H26" s="69"/>
      <c r="I26" s="69"/>
      <c r="J26" s="69">
        <v>1</v>
      </c>
      <c r="K26" s="69"/>
      <c r="L26" s="69"/>
      <c r="M26" s="69"/>
      <c r="N26" s="69"/>
      <c r="O26" s="69"/>
      <c r="P26" s="69">
        <v>1</v>
      </c>
      <c r="Q26" s="69"/>
      <c r="R26" s="69"/>
      <c r="S26" s="70">
        <f t="shared" si="0"/>
        <v>4</v>
      </c>
      <c r="AA26"/>
    </row>
    <row r="27" spans="1:27" ht="15.75" x14ac:dyDescent="0.25">
      <c r="A27" s="68" t="s">
        <v>49</v>
      </c>
      <c r="B27" s="69">
        <v>1</v>
      </c>
      <c r="C27" s="69">
        <v>1</v>
      </c>
      <c r="D27" s="69"/>
      <c r="E27" s="69"/>
      <c r="F27" s="69">
        <v>1</v>
      </c>
      <c r="G27" s="69"/>
      <c r="H27" s="69"/>
      <c r="I27" s="69"/>
      <c r="J27" s="69">
        <v>1</v>
      </c>
      <c r="K27" s="69"/>
      <c r="L27" s="69"/>
      <c r="M27" s="69"/>
      <c r="N27" s="69">
        <v>1</v>
      </c>
      <c r="O27" s="69">
        <v>1</v>
      </c>
      <c r="P27" s="69">
        <v>1</v>
      </c>
      <c r="Q27" s="69"/>
      <c r="R27" s="69"/>
      <c r="S27" s="70">
        <f t="shared" si="0"/>
        <v>7</v>
      </c>
      <c r="AA27"/>
    </row>
    <row r="28" spans="1:27" ht="15.75" x14ac:dyDescent="0.25">
      <c r="A28" s="68" t="s">
        <v>71</v>
      </c>
      <c r="B28" s="69">
        <v>1</v>
      </c>
      <c r="C28" s="69">
        <v>1</v>
      </c>
      <c r="D28" s="69"/>
      <c r="E28" s="69"/>
      <c r="F28" s="69"/>
      <c r="G28" s="69"/>
      <c r="H28" s="69">
        <v>1</v>
      </c>
      <c r="I28" s="69"/>
      <c r="J28" s="69">
        <v>1</v>
      </c>
      <c r="K28" s="69"/>
      <c r="L28" s="69"/>
      <c r="M28" s="69"/>
      <c r="N28" s="69">
        <v>1</v>
      </c>
      <c r="O28" s="69">
        <v>1</v>
      </c>
      <c r="P28" s="69">
        <v>1</v>
      </c>
      <c r="Q28" s="69"/>
      <c r="R28" s="69"/>
      <c r="S28" s="70">
        <f t="shared" si="0"/>
        <v>7</v>
      </c>
      <c r="AA28"/>
    </row>
    <row r="29" spans="1:27" ht="15.75" x14ac:dyDescent="0.25">
      <c r="A29" s="68" t="s">
        <v>85</v>
      </c>
      <c r="B29" s="69">
        <v>1</v>
      </c>
      <c r="C29" s="69">
        <v>1</v>
      </c>
      <c r="D29" s="69"/>
      <c r="E29" s="69"/>
      <c r="F29" s="69"/>
      <c r="G29" s="69"/>
      <c r="H29" s="69">
        <v>1</v>
      </c>
      <c r="I29" s="69"/>
      <c r="J29" s="69">
        <v>0</v>
      </c>
      <c r="K29" s="69"/>
      <c r="L29" s="69"/>
      <c r="M29" s="69"/>
      <c r="N29" s="69">
        <v>1</v>
      </c>
      <c r="O29" s="69">
        <v>1</v>
      </c>
      <c r="P29" s="69">
        <v>0</v>
      </c>
      <c r="Q29" s="69"/>
      <c r="R29" s="69"/>
      <c r="S29" s="70">
        <f t="shared" si="0"/>
        <v>5</v>
      </c>
      <c r="AA29"/>
    </row>
    <row r="30" spans="1:27" ht="15.75" x14ac:dyDescent="0.25">
      <c r="A30" s="68" t="s">
        <v>86</v>
      </c>
      <c r="B30" s="69">
        <v>1</v>
      </c>
      <c r="C30" s="69">
        <v>1</v>
      </c>
      <c r="D30" s="69">
        <v>2</v>
      </c>
      <c r="E30" s="69">
        <v>0.5</v>
      </c>
      <c r="F30" s="69"/>
      <c r="G30" s="69"/>
      <c r="H30" s="69"/>
      <c r="I30" s="69">
        <v>2</v>
      </c>
      <c r="J30" s="69">
        <v>1</v>
      </c>
      <c r="K30" s="69">
        <v>0.5</v>
      </c>
      <c r="L30" s="69">
        <v>2</v>
      </c>
      <c r="M30" s="69"/>
      <c r="N30" s="69"/>
      <c r="O30" s="69"/>
      <c r="P30" s="69">
        <v>1</v>
      </c>
      <c r="Q30" s="69">
        <v>2</v>
      </c>
      <c r="R30" s="69">
        <v>0.5</v>
      </c>
      <c r="S30" s="70">
        <f t="shared" si="0"/>
        <v>13.5</v>
      </c>
      <c r="AA30"/>
    </row>
    <row r="31" spans="1:27" ht="15.75" x14ac:dyDescent="0.25">
      <c r="A31" s="68" t="s">
        <v>27</v>
      </c>
      <c r="B31" s="69">
        <v>1</v>
      </c>
      <c r="C31" s="69">
        <v>1</v>
      </c>
      <c r="D31" s="69"/>
      <c r="E31" s="69"/>
      <c r="F31" s="69">
        <v>1</v>
      </c>
      <c r="G31" s="69"/>
      <c r="H31" s="69"/>
      <c r="I31" s="69"/>
      <c r="J31" s="69">
        <v>1</v>
      </c>
      <c r="K31" s="69"/>
      <c r="L31" s="69"/>
      <c r="M31" s="69"/>
      <c r="N31" s="69"/>
      <c r="O31" s="69">
        <v>1</v>
      </c>
      <c r="P31" s="69">
        <v>1</v>
      </c>
      <c r="Q31" s="69"/>
      <c r="R31" s="69"/>
      <c r="S31" s="70">
        <f t="shared" si="0"/>
        <v>6</v>
      </c>
      <c r="AA31"/>
    </row>
    <row r="32" spans="1:27" ht="15.75" x14ac:dyDescent="0.25">
      <c r="A32" s="68" t="s">
        <v>87</v>
      </c>
      <c r="B32" s="69">
        <v>0</v>
      </c>
      <c r="C32" s="69">
        <v>1</v>
      </c>
      <c r="D32" s="69"/>
      <c r="E32" s="69"/>
      <c r="F32" s="69"/>
      <c r="G32" s="69"/>
      <c r="H32" s="69"/>
      <c r="I32" s="69"/>
      <c r="J32" s="69">
        <v>1</v>
      </c>
      <c r="K32" s="69"/>
      <c r="L32" s="69"/>
      <c r="M32" s="69"/>
      <c r="N32" s="69"/>
      <c r="O32" s="69"/>
      <c r="P32" s="69">
        <v>1</v>
      </c>
      <c r="Q32" s="69"/>
      <c r="R32" s="69"/>
      <c r="S32" s="70">
        <f t="shared" si="0"/>
        <v>3</v>
      </c>
      <c r="AA32"/>
    </row>
    <row r="33" spans="1:27" ht="15.75" x14ac:dyDescent="0.25">
      <c r="A33" s="68" t="s">
        <v>63</v>
      </c>
      <c r="B33" s="69">
        <v>1</v>
      </c>
      <c r="C33" s="69">
        <v>1</v>
      </c>
      <c r="D33" s="69"/>
      <c r="E33" s="69"/>
      <c r="F33" s="69"/>
      <c r="G33" s="69"/>
      <c r="H33" s="69">
        <v>1</v>
      </c>
      <c r="I33" s="69"/>
      <c r="J33" s="69">
        <v>1</v>
      </c>
      <c r="K33" s="69"/>
      <c r="L33" s="69"/>
      <c r="M33" s="69"/>
      <c r="N33" s="69">
        <v>1</v>
      </c>
      <c r="O33" s="69">
        <v>1</v>
      </c>
      <c r="P33" s="69">
        <v>1</v>
      </c>
      <c r="Q33" s="69"/>
      <c r="R33" s="69"/>
      <c r="S33" s="70">
        <f t="shared" si="0"/>
        <v>7</v>
      </c>
      <c r="AA33"/>
    </row>
    <row r="34" spans="1:27" ht="15.75" x14ac:dyDescent="0.25">
      <c r="A34" s="68" t="s">
        <v>69</v>
      </c>
      <c r="B34" s="69">
        <v>0</v>
      </c>
      <c r="C34" s="69">
        <v>0</v>
      </c>
      <c r="D34" s="69"/>
      <c r="E34" s="69"/>
      <c r="F34" s="69"/>
      <c r="G34" s="69"/>
      <c r="H34" s="69"/>
      <c r="I34" s="69"/>
      <c r="J34" s="69">
        <v>0</v>
      </c>
      <c r="K34" s="69"/>
      <c r="L34" s="69"/>
      <c r="M34" s="69"/>
      <c r="N34" s="69"/>
      <c r="O34" s="69"/>
      <c r="P34" s="69">
        <v>0</v>
      </c>
      <c r="Q34" s="69"/>
      <c r="R34" s="69"/>
      <c r="S34" s="70">
        <f t="shared" si="0"/>
        <v>0</v>
      </c>
      <c r="AA34"/>
    </row>
    <row r="35" spans="1:27" ht="15.75" x14ac:dyDescent="0.25">
      <c r="A35" s="95" t="s">
        <v>65</v>
      </c>
      <c r="B35" s="69">
        <v>1</v>
      </c>
      <c r="C35" s="69">
        <v>1</v>
      </c>
      <c r="D35" s="69"/>
      <c r="E35" s="69"/>
      <c r="F35" s="69">
        <v>1</v>
      </c>
      <c r="G35" s="69"/>
      <c r="H35" s="69"/>
      <c r="I35" s="69"/>
      <c r="J35" s="69">
        <v>1</v>
      </c>
      <c r="K35" s="69"/>
      <c r="L35" s="69"/>
      <c r="M35" s="69"/>
      <c r="N35" s="69">
        <v>1</v>
      </c>
      <c r="O35" s="69"/>
      <c r="P35" s="69">
        <v>1</v>
      </c>
      <c r="Q35" s="69"/>
      <c r="R35" s="69"/>
      <c r="S35" s="70">
        <f t="shared" si="0"/>
        <v>6</v>
      </c>
      <c r="AA35"/>
    </row>
    <row r="36" spans="1:27" ht="15.75" x14ac:dyDescent="0.25">
      <c r="A36" s="68" t="s">
        <v>100</v>
      </c>
      <c r="B36" s="69">
        <v>0</v>
      </c>
      <c r="C36" s="69">
        <v>0</v>
      </c>
      <c r="D36" s="69"/>
      <c r="E36" s="69"/>
      <c r="F36" s="69"/>
      <c r="G36" s="69"/>
      <c r="H36" s="69"/>
      <c r="I36" s="69"/>
      <c r="J36" s="69">
        <v>0</v>
      </c>
      <c r="K36" s="69"/>
      <c r="L36" s="69"/>
      <c r="M36" s="69"/>
      <c r="N36" s="69"/>
      <c r="O36" s="69"/>
      <c r="P36" s="69">
        <v>0</v>
      </c>
      <c r="Q36" s="69"/>
      <c r="R36" s="69"/>
      <c r="S36" s="70">
        <f t="shared" si="0"/>
        <v>0</v>
      </c>
      <c r="AA36"/>
    </row>
    <row r="37" spans="1:27" ht="15.75" x14ac:dyDescent="0.25">
      <c r="A37" s="68" t="s">
        <v>89</v>
      </c>
      <c r="B37" s="69">
        <v>1</v>
      </c>
      <c r="C37" s="69">
        <v>1</v>
      </c>
      <c r="D37" s="69"/>
      <c r="E37" s="69"/>
      <c r="F37" s="69"/>
      <c r="G37" s="69"/>
      <c r="H37" s="69"/>
      <c r="I37" s="69"/>
      <c r="J37" s="69">
        <v>1</v>
      </c>
      <c r="K37" s="69"/>
      <c r="L37" s="69"/>
      <c r="M37" s="69"/>
      <c r="N37" s="69"/>
      <c r="O37" s="69"/>
      <c r="P37" s="69">
        <v>1</v>
      </c>
      <c r="Q37" s="69"/>
      <c r="R37" s="69"/>
      <c r="S37" s="70">
        <f t="shared" si="0"/>
        <v>4</v>
      </c>
      <c r="AA37"/>
    </row>
    <row r="38" spans="1:27" ht="15.75" x14ac:dyDescent="0.25">
      <c r="A38" s="68" t="s">
        <v>72</v>
      </c>
      <c r="B38" s="69">
        <v>0</v>
      </c>
      <c r="C38" s="69">
        <v>0</v>
      </c>
      <c r="D38" s="69"/>
      <c r="E38" s="69"/>
      <c r="F38" s="69"/>
      <c r="G38" s="69"/>
      <c r="H38" s="69"/>
      <c r="I38" s="69"/>
      <c r="J38" s="69">
        <v>0</v>
      </c>
      <c r="K38" s="69"/>
      <c r="L38" s="69"/>
      <c r="M38" s="69"/>
      <c r="N38" s="69">
        <v>1</v>
      </c>
      <c r="O38" s="69"/>
      <c r="P38" s="69">
        <v>0</v>
      </c>
      <c r="Q38" s="69"/>
      <c r="R38" s="69"/>
      <c r="S38" s="70">
        <f t="shared" si="0"/>
        <v>1</v>
      </c>
      <c r="AA38"/>
    </row>
    <row r="39" spans="1:27" ht="15.75" x14ac:dyDescent="0.25">
      <c r="A39" s="68" t="s">
        <v>98</v>
      </c>
      <c r="B39" s="69">
        <v>1</v>
      </c>
      <c r="C39" s="69">
        <v>1</v>
      </c>
      <c r="D39" s="69"/>
      <c r="E39" s="69"/>
      <c r="F39" s="69"/>
      <c r="G39" s="69"/>
      <c r="H39" s="69"/>
      <c r="I39" s="69"/>
      <c r="J39" s="69">
        <v>1</v>
      </c>
      <c r="K39" s="69"/>
      <c r="L39" s="69"/>
      <c r="M39" s="69">
        <v>2</v>
      </c>
      <c r="N39" s="69"/>
      <c r="O39" s="69">
        <v>1</v>
      </c>
      <c r="P39" s="69">
        <v>1</v>
      </c>
      <c r="Q39" s="69"/>
      <c r="R39" s="69"/>
      <c r="S39" s="70">
        <f t="shared" si="0"/>
        <v>7</v>
      </c>
      <c r="AA39"/>
    </row>
    <row r="40" spans="1:27" ht="15.75" x14ac:dyDescent="0.25">
      <c r="A40" s="68" t="s">
        <v>70</v>
      </c>
      <c r="B40" s="69">
        <v>1</v>
      </c>
      <c r="C40" s="69">
        <v>1</v>
      </c>
      <c r="D40" s="69"/>
      <c r="E40" s="69"/>
      <c r="F40" s="69"/>
      <c r="G40" s="69">
        <v>1</v>
      </c>
      <c r="H40" s="69"/>
      <c r="I40" s="69"/>
      <c r="J40" s="69">
        <v>1</v>
      </c>
      <c r="K40" s="69"/>
      <c r="L40" s="69"/>
      <c r="M40" s="69"/>
      <c r="N40" s="69">
        <v>1</v>
      </c>
      <c r="O40" s="69">
        <v>1</v>
      </c>
      <c r="P40" s="69">
        <v>1</v>
      </c>
      <c r="Q40" s="69"/>
      <c r="R40" s="69"/>
      <c r="S40" s="70">
        <f t="shared" si="0"/>
        <v>7</v>
      </c>
      <c r="AA40"/>
    </row>
    <row r="41" spans="1:27" ht="15.75" x14ac:dyDescent="0.25">
      <c r="A41" s="68" t="s">
        <v>88</v>
      </c>
      <c r="B41" s="69">
        <v>1</v>
      </c>
      <c r="C41" s="69">
        <v>1</v>
      </c>
      <c r="D41" s="69"/>
      <c r="E41" s="69"/>
      <c r="F41" s="69"/>
      <c r="G41" s="69"/>
      <c r="H41" s="69"/>
      <c r="I41" s="69"/>
      <c r="J41" s="69">
        <v>1</v>
      </c>
      <c r="K41" s="69"/>
      <c r="L41" s="69"/>
      <c r="M41" s="69"/>
      <c r="N41" s="69"/>
      <c r="O41" s="69"/>
      <c r="P41" s="69">
        <v>1</v>
      </c>
      <c r="Q41" s="69"/>
      <c r="R41" s="69"/>
      <c r="S41" s="70">
        <f t="shared" si="0"/>
        <v>4</v>
      </c>
      <c r="AA41"/>
    </row>
    <row r="42" spans="1:27" ht="15.75" x14ac:dyDescent="0.25">
      <c r="A42" s="68" t="s">
        <v>90</v>
      </c>
      <c r="B42" s="69">
        <v>0</v>
      </c>
      <c r="C42" s="69">
        <v>0</v>
      </c>
      <c r="D42" s="69"/>
      <c r="E42" s="69"/>
      <c r="F42" s="69"/>
      <c r="G42" s="69"/>
      <c r="H42" s="69"/>
      <c r="I42" s="69"/>
      <c r="J42" s="69">
        <v>0</v>
      </c>
      <c r="K42" s="69"/>
      <c r="L42" s="69"/>
      <c r="M42" s="69"/>
      <c r="N42" s="69"/>
      <c r="O42" s="69"/>
      <c r="P42" s="69">
        <v>0</v>
      </c>
      <c r="Q42" s="69"/>
      <c r="R42" s="69"/>
      <c r="S42" s="70">
        <f t="shared" si="0"/>
        <v>0</v>
      </c>
      <c r="AA42"/>
    </row>
    <row r="43" spans="1:27" ht="15.75" x14ac:dyDescent="0.25">
      <c r="A43" s="68" t="s">
        <v>24</v>
      </c>
      <c r="B43" s="69">
        <v>0</v>
      </c>
      <c r="C43" s="69">
        <v>0</v>
      </c>
      <c r="D43" s="69"/>
      <c r="E43" s="69"/>
      <c r="F43" s="69"/>
      <c r="G43" s="69"/>
      <c r="H43" s="69"/>
      <c r="I43" s="69"/>
      <c r="J43" s="69">
        <v>0</v>
      </c>
      <c r="K43" s="69"/>
      <c r="L43" s="69"/>
      <c r="M43" s="69"/>
      <c r="N43" s="69"/>
      <c r="O43" s="69"/>
      <c r="P43" s="69">
        <v>0</v>
      </c>
      <c r="Q43" s="69"/>
      <c r="R43" s="69"/>
      <c r="S43" s="70">
        <f t="shared" ref="S43:S44" si="1">SUM(B43:R43)</f>
        <v>0</v>
      </c>
      <c r="AA43"/>
    </row>
    <row r="44" spans="1:27" ht="15.75" x14ac:dyDescent="0.25">
      <c r="A44" s="68" t="s">
        <v>101</v>
      </c>
      <c r="B44" s="69"/>
      <c r="C44" s="69"/>
      <c r="D44" s="69"/>
      <c r="E44" s="69"/>
      <c r="F44" s="69"/>
      <c r="G44" s="69"/>
      <c r="H44" s="69">
        <v>1</v>
      </c>
      <c r="I44" s="69">
        <v>2</v>
      </c>
      <c r="J44" s="69">
        <v>1</v>
      </c>
      <c r="K44" s="69"/>
      <c r="L44" s="69"/>
      <c r="M44" s="69"/>
      <c r="N44" s="69"/>
      <c r="O44" s="69"/>
      <c r="P44" s="69">
        <v>1</v>
      </c>
      <c r="Q44" s="69"/>
      <c r="R44" s="69"/>
      <c r="S44" s="70">
        <f t="shared" si="1"/>
        <v>5</v>
      </c>
      <c r="AA44"/>
    </row>
    <row r="45" spans="1:27" ht="15.75" x14ac:dyDescent="0.25">
      <c r="A45" s="68" t="s">
        <v>102</v>
      </c>
      <c r="B45" s="69">
        <v>0</v>
      </c>
      <c r="C45" s="69">
        <v>0</v>
      </c>
      <c r="D45" s="69"/>
      <c r="E45" s="69"/>
      <c r="F45" s="69"/>
      <c r="G45" s="69"/>
      <c r="H45" s="69"/>
      <c r="I45" s="69"/>
      <c r="J45" s="69"/>
      <c r="K45" s="69">
        <v>0.5</v>
      </c>
      <c r="L45" s="69">
        <v>2</v>
      </c>
      <c r="M45" s="69">
        <v>2</v>
      </c>
      <c r="N45" s="69"/>
      <c r="O45" s="69">
        <v>1</v>
      </c>
      <c r="P45" s="69"/>
      <c r="Q45" s="69"/>
      <c r="R45" s="69"/>
      <c r="S45" s="70">
        <f t="shared" si="0"/>
        <v>5.5</v>
      </c>
      <c r="AA45"/>
    </row>
    <row r="46" spans="1:27" ht="15.75" x14ac:dyDescent="0.25">
      <c r="A46" s="72" t="s">
        <v>25</v>
      </c>
      <c r="B46" s="73">
        <f t="shared" ref="B46:R46" si="2">SUM(B2:B45)</f>
        <v>25</v>
      </c>
      <c r="C46" s="73">
        <f t="shared" si="2"/>
        <v>30</v>
      </c>
      <c r="D46" s="73">
        <f t="shared" si="2"/>
        <v>10</v>
      </c>
      <c r="E46" s="73">
        <f t="shared" si="2"/>
        <v>1.5</v>
      </c>
      <c r="F46" s="73">
        <f t="shared" si="2"/>
        <v>8</v>
      </c>
      <c r="G46" s="73">
        <f t="shared" si="2"/>
        <v>6</v>
      </c>
      <c r="H46" s="73">
        <f t="shared" si="2"/>
        <v>8</v>
      </c>
      <c r="I46" s="73">
        <f t="shared" si="2"/>
        <v>8</v>
      </c>
      <c r="J46" s="73">
        <f t="shared" si="2"/>
        <v>29</v>
      </c>
      <c r="K46" s="73">
        <f t="shared" si="2"/>
        <v>1</v>
      </c>
      <c r="L46" s="73">
        <f t="shared" si="2"/>
        <v>8</v>
      </c>
      <c r="M46" s="73">
        <f>SUM(M2:M45)</f>
        <v>10</v>
      </c>
      <c r="N46" s="73">
        <f t="shared" si="2"/>
        <v>18</v>
      </c>
      <c r="O46" s="73">
        <f t="shared" si="2"/>
        <v>20</v>
      </c>
      <c r="P46" s="73">
        <f t="shared" ref="P46" si="3">SUM(P2:P45)</f>
        <v>29</v>
      </c>
      <c r="Q46" s="73">
        <f t="shared" si="2"/>
        <v>8</v>
      </c>
      <c r="R46" s="73">
        <f t="shared" si="2"/>
        <v>1</v>
      </c>
      <c r="S46" s="74">
        <f>SUM(B46:R46)</f>
        <v>220.5</v>
      </c>
      <c r="AA4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zoomScale="80" zoomScaleNormal="80" workbookViewId="0">
      <selection activeCell="G6" sqref="G6"/>
    </sheetView>
  </sheetViews>
  <sheetFormatPr defaultRowHeight="15" x14ac:dyDescent="0.25"/>
  <cols>
    <col min="1" max="1" width="10.28515625" bestFit="1" customWidth="1"/>
    <col min="2" max="2" width="10.42578125" bestFit="1" customWidth="1"/>
    <col min="3" max="3" width="18.140625" bestFit="1" customWidth="1"/>
    <col min="4" max="4" width="22.5703125" hidden="1" customWidth="1"/>
    <col min="5" max="5" width="21" bestFit="1" customWidth="1"/>
    <col min="6" max="6" width="19.5703125" bestFit="1" customWidth="1"/>
    <col min="7" max="7" width="18.140625" bestFit="1" customWidth="1"/>
    <col min="8" max="8" width="19.5703125" bestFit="1" customWidth="1"/>
    <col min="9" max="9" width="21" bestFit="1" customWidth="1"/>
    <col min="10" max="10" width="16.7109375" bestFit="1" customWidth="1"/>
    <col min="11" max="11" width="21" bestFit="1" customWidth="1"/>
    <col min="12" max="12" width="17.5703125" customWidth="1"/>
    <col min="13" max="13" width="13.7109375" bestFit="1" customWidth="1"/>
    <col min="14" max="14" width="13.5703125" bestFit="1" customWidth="1"/>
    <col min="15" max="15" width="13.42578125" bestFit="1" customWidth="1"/>
    <col min="16" max="17" width="11.5703125" bestFit="1" customWidth="1"/>
    <col min="18" max="18" width="11.5703125" customWidth="1"/>
    <col min="19" max="19" width="13.5703125" bestFit="1" customWidth="1"/>
    <col min="20" max="20" width="11.5703125" bestFit="1" customWidth="1"/>
    <col min="22" max="22" width="20.140625" customWidth="1"/>
  </cols>
  <sheetData>
    <row r="1" spans="1:22" ht="45.75" thickBot="1" x14ac:dyDescent="0.3">
      <c r="A1" s="76" t="s">
        <v>0</v>
      </c>
      <c r="B1" s="77" t="s">
        <v>29</v>
      </c>
      <c r="C1" s="77" t="s">
        <v>30</v>
      </c>
      <c r="D1" s="77" t="s">
        <v>31</v>
      </c>
      <c r="E1" s="77" t="s">
        <v>32</v>
      </c>
      <c r="F1" s="77" t="s">
        <v>33</v>
      </c>
      <c r="G1" s="77" t="s">
        <v>34</v>
      </c>
      <c r="H1" s="77" t="s">
        <v>35</v>
      </c>
      <c r="I1" s="77" t="s">
        <v>36</v>
      </c>
      <c r="J1" s="77" t="s">
        <v>37</v>
      </c>
      <c r="K1" s="77" t="s">
        <v>38</v>
      </c>
      <c r="L1" s="77" t="s">
        <v>39</v>
      </c>
      <c r="M1" s="77" t="s">
        <v>40</v>
      </c>
      <c r="N1" s="77" t="s">
        <v>41</v>
      </c>
      <c r="O1" s="77" t="s">
        <v>42</v>
      </c>
      <c r="P1" s="77" t="s">
        <v>43</v>
      </c>
      <c r="Q1" s="77" t="s">
        <v>44</v>
      </c>
      <c r="R1" s="77" t="s">
        <v>52</v>
      </c>
      <c r="S1" s="77" t="s">
        <v>53</v>
      </c>
      <c r="T1" s="78" t="s">
        <v>45</v>
      </c>
      <c r="V1" s="75" t="s">
        <v>54</v>
      </c>
    </row>
    <row r="2" spans="1:22" s="60" customFormat="1" ht="30.75" customHeight="1" thickBot="1" x14ac:dyDescent="0.3">
      <c r="A2" s="79">
        <v>2026</v>
      </c>
      <c r="B2" s="80" t="s">
        <v>4</v>
      </c>
      <c r="C2" s="80">
        <v>37</v>
      </c>
      <c r="D2" s="81">
        <v>110112.19</v>
      </c>
      <c r="E2" s="82">
        <f>220*Tabela35[[#This Row],[N° DE FUNCIONÁRIOS]]+Tabela35[[#This Row],[QUANT. DE HORAS EXTRAS]]</f>
        <v>8458.57</v>
      </c>
      <c r="F2" s="82">
        <v>186</v>
      </c>
      <c r="G2" s="82">
        <v>194</v>
      </c>
      <c r="H2" s="82">
        <v>318.57</v>
      </c>
      <c r="I2" s="82">
        <v>7497.76</v>
      </c>
      <c r="J2" s="80">
        <f>'01.2026'!O2</f>
        <v>12</v>
      </c>
      <c r="K2" s="80">
        <f>'01.2026'!N49</f>
        <v>222</v>
      </c>
      <c r="L2" s="83">
        <f>Tabela35[[#This Row],[FALTAS JUSTIFICADAS (horas)]]/Tabela35[[#This Row],[HHT]]</f>
        <v>2.1989532509632245E-2</v>
      </c>
      <c r="M2" s="84">
        <f>Tabela35[[#This Row],[FALTAS INJUSTIFICDAS (horas)]]/Tabela35[[#This Row],[HHT]]</f>
        <v>2.2935318854132556E-2</v>
      </c>
      <c r="N2" s="83">
        <f>Tabela35[[#This Row],[QUANT. DE HORAS EXTRAS]]/Tabela35[[#This Row],[HHT]]</f>
        <v>3.766239447093303E-2</v>
      </c>
      <c r="O2" s="84">
        <f>Tabela35[[#This Row],[HORAS DE TREINAMENTOS]]/Tabela35[[#This Row],[HHT]]</f>
        <v>2.6245571059883645E-2</v>
      </c>
      <c r="P2" s="85">
        <v>1.2E-2</v>
      </c>
      <c r="Q2" s="85">
        <v>1.4999999999999999E-2</v>
      </c>
      <c r="R2" s="85">
        <v>0.03</v>
      </c>
      <c r="S2" s="85">
        <v>0.02</v>
      </c>
      <c r="T2" s="86">
        <v>0.1</v>
      </c>
      <c r="V2" s="63">
        <v>12</v>
      </c>
    </row>
    <row r="3" spans="1:22" s="60" customFormat="1" ht="30.75" customHeight="1" thickTop="1" x14ac:dyDescent="0.25">
      <c r="A3" s="79">
        <v>2026</v>
      </c>
      <c r="B3" s="80" t="s">
        <v>5</v>
      </c>
      <c r="C3" s="80">
        <v>38</v>
      </c>
      <c r="D3" s="81">
        <v>101335.25</v>
      </c>
      <c r="E3" s="82">
        <f>220*Tabela35[[#This Row],[N° DE FUNCIONÁRIOS]]+Tabela35[[#This Row],[QUANT. DE HORAS EXTRAS]]</f>
        <v>8842.32</v>
      </c>
      <c r="F3" s="82">
        <v>280</v>
      </c>
      <c r="G3" s="82">
        <v>36</v>
      </c>
      <c r="H3" s="82">
        <v>482.32</v>
      </c>
      <c r="I3" s="82">
        <v>11414.7</v>
      </c>
      <c r="J3" s="80">
        <v>9</v>
      </c>
      <c r="K3" s="80">
        <v>246</v>
      </c>
      <c r="L3" s="83">
        <f>Tabela35[[#This Row],[FALTAS JUSTIFICADAS (horas)]]/Tabela35[[#This Row],[HHT]]</f>
        <v>3.1665897637724039E-2</v>
      </c>
      <c r="M3" s="84">
        <f>Tabela35[[#This Row],[FALTAS INJUSTIFICDAS (horas)]]/Tabela35[[#This Row],[HHT]]</f>
        <v>4.0713296962788048E-3</v>
      </c>
      <c r="N3" s="83">
        <f>Tabela35[[#This Row],[QUANT. DE HORAS EXTRAS]]/Tabela35[[#This Row],[HHT]]</f>
        <v>5.4546770530810917E-2</v>
      </c>
      <c r="O3" s="84">
        <f>Tabela35[[#This Row],[HORAS DE TREINAMENTOS]]/Tabela35[[#This Row],[HHT]]</f>
        <v>2.7820752924571833E-2</v>
      </c>
      <c r="P3" s="85">
        <v>1.2E-2</v>
      </c>
      <c r="Q3" s="85">
        <v>1.4999999999999999E-2</v>
      </c>
      <c r="R3" s="85">
        <v>0.03</v>
      </c>
      <c r="S3" s="85">
        <v>0.02</v>
      </c>
      <c r="T3" s="86">
        <v>0.1</v>
      </c>
    </row>
    <row r="4" spans="1:22" s="60" customFormat="1" ht="30.75" customHeight="1" x14ac:dyDescent="0.25">
      <c r="A4" s="79">
        <v>2026</v>
      </c>
      <c r="B4" s="80" t="s">
        <v>6</v>
      </c>
      <c r="C4" s="80">
        <v>33</v>
      </c>
      <c r="D4" s="81">
        <v>110610.27</v>
      </c>
      <c r="E4" s="82">
        <f>220*Tabela35[[#This Row],[N° DE FUNCIONÁRIOS]]+Tabela35[[#This Row],[QUANT. DE HORAS EXTRAS]]</f>
        <v>7433.55</v>
      </c>
      <c r="F4" s="82">
        <v>212</v>
      </c>
      <c r="G4" s="82">
        <v>26</v>
      </c>
      <c r="H4" s="82">
        <v>173.55</v>
      </c>
      <c r="I4" s="82">
        <v>4247.28</v>
      </c>
      <c r="J4" s="80">
        <v>13</v>
      </c>
      <c r="K4" s="80">
        <f>'03.2026'!O45</f>
        <v>206</v>
      </c>
      <c r="L4" s="83">
        <f>Tabela35[[#This Row],[FALTAS JUSTIFICADAS (horas)]]/Tabela35[[#This Row],[HHT]]</f>
        <v>2.8519348090750716E-2</v>
      </c>
      <c r="M4" s="84">
        <f>Tabela35[[#This Row],[FALTAS INJUSTIFICDAS (horas)]]/Tabela35[[#This Row],[HHT]]</f>
        <v>3.4976558979222579E-3</v>
      </c>
      <c r="N4" s="83">
        <f>Tabela35[[#This Row],[QUANT. DE HORAS EXTRAS]]/Tabela35[[#This Row],[HHT]]</f>
        <v>2.3346853118631071E-2</v>
      </c>
      <c r="O4" s="84">
        <f>Tabela35[[#This Row],[HORAS DE TREINAMENTOS]]/Tabela35[[#This Row],[HHT]]</f>
        <v>2.7712196729691736E-2</v>
      </c>
      <c r="P4" s="85">
        <v>1.2E-2</v>
      </c>
      <c r="Q4" s="85">
        <v>1.4999999999999999E-2</v>
      </c>
      <c r="R4" s="85">
        <v>0.03</v>
      </c>
      <c r="S4" s="85">
        <v>0.02</v>
      </c>
      <c r="T4" s="86">
        <v>0.1</v>
      </c>
    </row>
    <row r="5" spans="1:22" s="60" customFormat="1" ht="30.75" customHeight="1" x14ac:dyDescent="0.25">
      <c r="A5" s="79">
        <v>2026</v>
      </c>
      <c r="B5" s="80" t="s">
        <v>7</v>
      </c>
      <c r="C5" s="80">
        <v>35</v>
      </c>
      <c r="D5" s="81">
        <v>130430.89</v>
      </c>
      <c r="E5" s="82">
        <f>220*Tabela35[[#This Row],[N° DE FUNCIONÁRIOS]]+Tabela35[[#This Row],[QUANT. DE HORAS EXTRAS]]</f>
        <v>7973.4</v>
      </c>
      <c r="F5" s="82">
        <v>318</v>
      </c>
      <c r="G5" s="82">
        <v>34</v>
      </c>
      <c r="H5" s="82">
        <v>273.39999999999998</v>
      </c>
      <c r="I5" s="82">
        <v>7299.52</v>
      </c>
      <c r="J5" s="80">
        <v>17</v>
      </c>
      <c r="K5" s="80">
        <v>220.5</v>
      </c>
      <c r="L5" s="83">
        <f>Tabela35[[#This Row],[FALTAS JUSTIFICADAS (horas)]]/Tabela35[[#This Row],[HHT]]</f>
        <v>3.9882609677176613E-2</v>
      </c>
      <c r="M5" s="84">
        <f>Tabela35[[#This Row],[FALTAS INJUSTIFICDAS (horas)]]/Tabela35[[#This Row],[HHT]]</f>
        <v>4.2641783931572476E-3</v>
      </c>
      <c r="N5" s="83">
        <f>Tabela35[[#This Row],[QUANT. DE HORAS EXTRAS]]/Tabela35[[#This Row],[HHT]]</f>
        <v>3.4289010961446813E-2</v>
      </c>
      <c r="O5" s="84">
        <f>Tabela35[[#This Row],[HORAS DE TREINAMENTOS]]/Tabela35[[#This Row],[HHT]]</f>
        <v>2.7654451049740389E-2</v>
      </c>
      <c r="P5" s="85">
        <v>1.2E-2</v>
      </c>
      <c r="Q5" s="85">
        <v>1.4999999999999999E-2</v>
      </c>
      <c r="R5" s="85">
        <v>0.03</v>
      </c>
      <c r="S5" s="85">
        <v>0.02</v>
      </c>
      <c r="T5" s="86">
        <v>0.1</v>
      </c>
    </row>
    <row r="6" spans="1:22" s="60" customFormat="1" ht="30.75" customHeight="1" x14ac:dyDescent="0.25">
      <c r="A6" s="79">
        <v>2026</v>
      </c>
      <c r="B6" s="80" t="s">
        <v>8</v>
      </c>
      <c r="C6" s="80"/>
      <c r="D6" s="81">
        <v>111582.01</v>
      </c>
      <c r="E6" s="82">
        <f>220*Tabela35[[#This Row],[N° DE FUNCIONÁRIOS]]+Tabela35[[#This Row],[QUANT. DE HORAS EXTRAS]]</f>
        <v>0</v>
      </c>
      <c r="F6" s="82"/>
      <c r="G6" s="82"/>
      <c r="H6" s="82"/>
      <c r="I6" s="82"/>
      <c r="J6" s="80"/>
      <c r="K6" s="80"/>
      <c r="L6" s="83" t="e">
        <f>Tabela35[[#This Row],[FALTAS JUSTIFICADAS (horas)]]/Tabela35[[#This Row],[HHT]]</f>
        <v>#DIV/0!</v>
      </c>
      <c r="M6" s="84" t="e">
        <f>Tabela35[[#This Row],[FALTAS INJUSTIFICDAS (horas)]]/Tabela35[[#This Row],[HHT]]</f>
        <v>#DIV/0!</v>
      </c>
      <c r="N6" s="83" t="e">
        <f>Tabela35[[#This Row],[QUANT. DE HORAS EXTRAS]]/Tabela35[[#This Row],[HHT]]</f>
        <v>#DIV/0!</v>
      </c>
      <c r="O6" s="84" t="e">
        <f>Tabela35[[#This Row],[HORAS DE TREINAMENTOS]]/Tabela35[[#This Row],[HHT]]</f>
        <v>#DIV/0!</v>
      </c>
      <c r="P6" s="85">
        <v>1.2E-2</v>
      </c>
      <c r="Q6" s="85">
        <v>1.4999999999999999E-2</v>
      </c>
      <c r="R6" s="85">
        <v>0.03</v>
      </c>
      <c r="S6" s="85">
        <v>0.02</v>
      </c>
      <c r="T6" s="86">
        <v>0.1</v>
      </c>
    </row>
    <row r="7" spans="1:22" s="60" customFormat="1" ht="30.75" customHeight="1" x14ac:dyDescent="0.25">
      <c r="A7" s="79">
        <v>2026</v>
      </c>
      <c r="B7" s="80" t="s">
        <v>9</v>
      </c>
      <c r="C7" s="80"/>
      <c r="D7" s="81">
        <v>92590.25</v>
      </c>
      <c r="E7" s="82">
        <f>220*Tabela35[[#This Row],[N° DE FUNCIONÁRIOS]]+Tabela35[[#This Row],[QUANT. DE HORAS EXTRAS]]</f>
        <v>0</v>
      </c>
      <c r="F7" s="82"/>
      <c r="G7" s="82"/>
      <c r="H7" s="82"/>
      <c r="I7" s="82"/>
      <c r="J7" s="80"/>
      <c r="K7" s="80"/>
      <c r="L7" s="83" t="e">
        <f>Tabela35[[#This Row],[FALTAS JUSTIFICADAS (horas)]]/Tabela35[[#This Row],[HHT]]</f>
        <v>#DIV/0!</v>
      </c>
      <c r="M7" s="84" t="e">
        <f>Tabela35[[#This Row],[FALTAS INJUSTIFICDAS (horas)]]/Tabela35[[#This Row],[HHT]]</f>
        <v>#DIV/0!</v>
      </c>
      <c r="N7" s="83" t="e">
        <f>Tabela35[[#This Row],[QUANT. DE HORAS EXTRAS]]/Tabela35[[#This Row],[HHT]]</f>
        <v>#DIV/0!</v>
      </c>
      <c r="O7" s="84" t="e">
        <f>Tabela35[[#This Row],[HORAS DE TREINAMENTOS]]/Tabela35[[#This Row],[HHT]]</f>
        <v>#DIV/0!</v>
      </c>
      <c r="P7" s="85">
        <v>1.2E-2</v>
      </c>
      <c r="Q7" s="85">
        <v>1.4999999999999999E-2</v>
      </c>
      <c r="R7" s="85">
        <v>0.03</v>
      </c>
      <c r="S7" s="85">
        <v>0.02</v>
      </c>
      <c r="T7" s="86">
        <v>0.1</v>
      </c>
    </row>
    <row r="8" spans="1:22" s="60" customFormat="1" ht="30.75" customHeight="1" x14ac:dyDescent="0.25">
      <c r="A8" s="79">
        <v>2026</v>
      </c>
      <c r="B8" s="80" t="s">
        <v>10</v>
      </c>
      <c r="C8" s="80"/>
      <c r="D8" s="81">
        <v>92325.83</v>
      </c>
      <c r="E8" s="82">
        <f>220*Tabela35[[#This Row],[N° DE FUNCIONÁRIOS]]+Tabela35[[#This Row],[QUANT. DE HORAS EXTRAS]]</f>
        <v>0</v>
      </c>
      <c r="F8" s="82"/>
      <c r="G8" s="82"/>
      <c r="H8" s="82"/>
      <c r="I8" s="82"/>
      <c r="J8" s="80"/>
      <c r="K8" s="80"/>
      <c r="L8" s="83" t="e">
        <f>Tabela35[[#This Row],[FALTAS JUSTIFICADAS (horas)]]/Tabela35[[#This Row],[HHT]]</f>
        <v>#DIV/0!</v>
      </c>
      <c r="M8" s="84" t="e">
        <f>Tabela35[[#This Row],[FALTAS INJUSTIFICDAS (horas)]]/Tabela35[[#This Row],[HHT]]</f>
        <v>#DIV/0!</v>
      </c>
      <c r="N8" s="83" t="e">
        <f>Tabela35[[#This Row],[QUANT. DE HORAS EXTRAS]]/Tabela35[[#This Row],[HHT]]</f>
        <v>#DIV/0!</v>
      </c>
      <c r="O8" s="84" t="e">
        <f>Tabela35[[#This Row],[HORAS DE TREINAMENTOS]]/Tabela35[[#This Row],[HHT]]</f>
        <v>#DIV/0!</v>
      </c>
      <c r="P8" s="85">
        <v>1.2E-2</v>
      </c>
      <c r="Q8" s="85">
        <v>1.4999999999999999E-2</v>
      </c>
      <c r="R8" s="85">
        <v>0.03</v>
      </c>
      <c r="S8" s="85">
        <v>0.02</v>
      </c>
      <c r="T8" s="86">
        <v>0.1</v>
      </c>
    </row>
    <row r="9" spans="1:22" s="60" customFormat="1" ht="30.75" customHeight="1" x14ac:dyDescent="0.25">
      <c r="A9" s="79">
        <v>2026</v>
      </c>
      <c r="B9" s="80" t="s">
        <v>11</v>
      </c>
      <c r="C9" s="80"/>
      <c r="D9" s="81">
        <v>89597.66</v>
      </c>
      <c r="E9" s="82">
        <f>220*Tabela35[[#This Row],[N° DE FUNCIONÁRIOS]]+Tabela35[[#This Row],[QUANT. DE HORAS EXTRAS]]</f>
        <v>0</v>
      </c>
      <c r="F9" s="82"/>
      <c r="G9" s="82"/>
      <c r="H9" s="82"/>
      <c r="I9" s="82"/>
      <c r="J9" s="80"/>
      <c r="K9" s="80"/>
      <c r="L9" s="83" t="e">
        <f>Tabela35[[#This Row],[FALTAS JUSTIFICADAS (horas)]]/Tabela35[[#This Row],[HHT]]</f>
        <v>#DIV/0!</v>
      </c>
      <c r="M9" s="84" t="e">
        <f>Tabela35[[#This Row],[FALTAS INJUSTIFICDAS (horas)]]/Tabela35[[#This Row],[HHT]]</f>
        <v>#DIV/0!</v>
      </c>
      <c r="N9" s="83" t="e">
        <f>Tabela35[[#This Row],[QUANT. DE HORAS EXTRAS]]/Tabela35[[#This Row],[HHT]]</f>
        <v>#DIV/0!</v>
      </c>
      <c r="O9" s="84" t="e">
        <f>Tabela35[[#This Row],[HORAS DE TREINAMENTOS]]/Tabela35[[#This Row],[HHT]]</f>
        <v>#DIV/0!</v>
      </c>
      <c r="P9" s="85">
        <v>1.2E-2</v>
      </c>
      <c r="Q9" s="85">
        <v>1.4999999999999999E-2</v>
      </c>
      <c r="R9" s="85">
        <v>0.03</v>
      </c>
      <c r="S9" s="85">
        <v>0.02</v>
      </c>
      <c r="T9" s="86">
        <v>0.1</v>
      </c>
    </row>
    <row r="10" spans="1:22" s="60" customFormat="1" ht="30.75" customHeight="1" x14ac:dyDescent="0.25">
      <c r="A10" s="79">
        <v>2026</v>
      </c>
      <c r="B10" s="80" t="s">
        <v>12</v>
      </c>
      <c r="C10" s="80"/>
      <c r="D10" s="81">
        <v>87223.95</v>
      </c>
      <c r="E10" s="82">
        <f>220*Tabela35[[#This Row],[N° DE FUNCIONÁRIOS]]+Tabela35[[#This Row],[QUANT. DE HORAS EXTRAS]]</f>
        <v>0</v>
      </c>
      <c r="F10" s="82"/>
      <c r="G10" s="82"/>
      <c r="H10" s="82"/>
      <c r="I10" s="82"/>
      <c r="J10" s="80"/>
      <c r="K10" s="80"/>
      <c r="L10" s="83" t="e">
        <f>Tabela35[[#This Row],[FALTAS JUSTIFICADAS (horas)]]/Tabela35[[#This Row],[HHT]]</f>
        <v>#DIV/0!</v>
      </c>
      <c r="M10" s="84" t="e">
        <f>Tabela35[[#This Row],[FALTAS INJUSTIFICDAS (horas)]]/Tabela35[[#This Row],[HHT]]</f>
        <v>#DIV/0!</v>
      </c>
      <c r="N10" s="83" t="e">
        <f>Tabela35[[#This Row],[QUANT. DE HORAS EXTRAS]]/Tabela35[[#This Row],[HHT]]</f>
        <v>#DIV/0!</v>
      </c>
      <c r="O10" s="84" t="e">
        <f>Tabela35[[#This Row],[HORAS DE TREINAMENTOS]]/Tabela35[[#This Row],[HHT]]</f>
        <v>#DIV/0!</v>
      </c>
      <c r="P10" s="85">
        <v>1.2E-2</v>
      </c>
      <c r="Q10" s="85">
        <v>1.4999999999999999E-2</v>
      </c>
      <c r="R10" s="85">
        <v>0.03</v>
      </c>
      <c r="S10" s="85">
        <v>0.02</v>
      </c>
      <c r="T10" s="86">
        <v>0.1</v>
      </c>
    </row>
    <row r="11" spans="1:22" s="60" customFormat="1" ht="30.75" customHeight="1" x14ac:dyDescent="0.25">
      <c r="A11" s="79">
        <v>2026</v>
      </c>
      <c r="B11" s="80" t="s">
        <v>13</v>
      </c>
      <c r="C11" s="80"/>
      <c r="D11" s="81">
        <v>88731.31</v>
      </c>
      <c r="E11" s="82">
        <f>220*Tabela35[[#This Row],[N° DE FUNCIONÁRIOS]]+Tabela35[[#This Row],[QUANT. DE HORAS EXTRAS]]</f>
        <v>0</v>
      </c>
      <c r="F11" s="82"/>
      <c r="G11" s="82"/>
      <c r="H11" s="82"/>
      <c r="I11" s="82"/>
      <c r="J11" s="80"/>
      <c r="K11" s="80"/>
      <c r="L11" s="83" t="e">
        <f>Tabela35[[#This Row],[FALTAS JUSTIFICADAS (horas)]]/Tabela35[[#This Row],[HHT]]</f>
        <v>#DIV/0!</v>
      </c>
      <c r="M11" s="84" t="e">
        <f>Tabela35[[#This Row],[FALTAS INJUSTIFICDAS (horas)]]/Tabela35[[#This Row],[HHT]]</f>
        <v>#DIV/0!</v>
      </c>
      <c r="N11" s="83" t="e">
        <f>Tabela35[[#This Row],[QUANT. DE HORAS EXTRAS]]/Tabela35[[#This Row],[HHT]]</f>
        <v>#DIV/0!</v>
      </c>
      <c r="O11" s="84" t="e">
        <f>Tabela35[[#This Row],[HORAS DE TREINAMENTOS]]/Tabela35[[#This Row],[HHT]]</f>
        <v>#DIV/0!</v>
      </c>
      <c r="P11" s="85">
        <v>1.2E-2</v>
      </c>
      <c r="Q11" s="85">
        <v>1.4999999999999999E-2</v>
      </c>
      <c r="R11" s="85">
        <v>0.03</v>
      </c>
      <c r="S11" s="85">
        <v>0.02</v>
      </c>
      <c r="T11" s="86">
        <v>0.1</v>
      </c>
    </row>
    <row r="12" spans="1:22" s="60" customFormat="1" ht="30.75" customHeight="1" x14ac:dyDescent="0.25">
      <c r="A12" s="79">
        <v>2026</v>
      </c>
      <c r="B12" s="80" t="s">
        <v>14</v>
      </c>
      <c r="C12" s="80"/>
      <c r="D12" s="81">
        <v>107418.72</v>
      </c>
      <c r="E12" s="82">
        <f>220*Tabela35[[#This Row],[N° DE FUNCIONÁRIOS]]+Tabela35[[#This Row],[QUANT. DE HORAS EXTRAS]]</f>
        <v>0</v>
      </c>
      <c r="F12" s="82"/>
      <c r="G12" s="82"/>
      <c r="H12" s="82"/>
      <c r="I12" s="82"/>
      <c r="J12" s="80"/>
      <c r="K12" s="80"/>
      <c r="L12" s="83" t="e">
        <f>Tabela35[[#This Row],[FALTAS JUSTIFICADAS (horas)]]/Tabela35[[#This Row],[HHT]]</f>
        <v>#DIV/0!</v>
      </c>
      <c r="M12" s="84" t="e">
        <f>Tabela35[[#This Row],[FALTAS INJUSTIFICDAS (horas)]]/Tabela35[[#This Row],[HHT]]</f>
        <v>#DIV/0!</v>
      </c>
      <c r="N12" s="83" t="e">
        <f>Tabela35[[#This Row],[QUANT. DE HORAS EXTRAS]]/Tabela35[[#This Row],[HHT]]</f>
        <v>#DIV/0!</v>
      </c>
      <c r="O12" s="84" t="e">
        <f>Tabela35[[#This Row],[HORAS DE TREINAMENTOS]]/Tabela35[[#This Row],[HHT]]</f>
        <v>#DIV/0!</v>
      </c>
      <c r="P12" s="85">
        <v>1.2E-2</v>
      </c>
      <c r="Q12" s="85">
        <v>1.4999999999999999E-2</v>
      </c>
      <c r="R12" s="85">
        <v>0.03</v>
      </c>
      <c r="S12" s="85">
        <v>0.02</v>
      </c>
      <c r="T12" s="86">
        <v>0.1</v>
      </c>
    </row>
    <row r="13" spans="1:22" s="60" customFormat="1" ht="30.75" customHeight="1" x14ac:dyDescent="0.25">
      <c r="A13" s="79">
        <v>2026</v>
      </c>
      <c r="B13" s="80" t="s">
        <v>15</v>
      </c>
      <c r="C13" s="80"/>
      <c r="D13" s="81"/>
      <c r="E13" s="82">
        <f>220*Tabela35[[#This Row],[N° DE FUNCIONÁRIOS]]+Tabela35[[#This Row],[QUANT. DE HORAS EXTRAS]]</f>
        <v>0</v>
      </c>
      <c r="F13" s="82"/>
      <c r="G13" s="82"/>
      <c r="H13" s="82"/>
      <c r="I13" s="82"/>
      <c r="J13" s="80"/>
      <c r="K13" s="80"/>
      <c r="L13" s="83" t="e">
        <f>Tabela35[[#This Row],[FALTAS JUSTIFICADAS (horas)]]/Tabela35[[#This Row],[HHT]]</f>
        <v>#DIV/0!</v>
      </c>
      <c r="M13" s="84" t="e">
        <f>Tabela35[[#This Row],[FALTAS INJUSTIFICDAS (horas)]]/Tabela35[[#This Row],[HHT]]</f>
        <v>#DIV/0!</v>
      </c>
      <c r="N13" s="83" t="e">
        <f>Tabela35[[#This Row],[QUANT. DE HORAS EXTRAS]]/Tabela35[[#This Row],[HHT]]</f>
        <v>#DIV/0!</v>
      </c>
      <c r="O13" s="84" t="e">
        <f>Tabela35[[#This Row],[HORAS DE TREINAMENTOS]]/Tabela35[[#This Row],[HHT]]</f>
        <v>#DIV/0!</v>
      </c>
      <c r="P13" s="85">
        <v>1.2E-2</v>
      </c>
      <c r="Q13" s="85">
        <v>1.4999999999999999E-2</v>
      </c>
      <c r="R13" s="85">
        <v>0.03</v>
      </c>
      <c r="S13" s="85">
        <v>0.02</v>
      </c>
      <c r="T13" s="86">
        <v>0.1</v>
      </c>
    </row>
    <row r="14" spans="1:22" s="60" customFormat="1" ht="30.75" customHeight="1" x14ac:dyDescent="0.25">
      <c r="A14" s="93">
        <v>2025</v>
      </c>
      <c r="B14" s="87" t="s">
        <v>55</v>
      </c>
      <c r="C14" s="88">
        <f>SUBTOTAL(109,C2:C13)/V2</f>
        <v>11.916666666666666</v>
      </c>
      <c r="D14" s="89">
        <f>SUBTOTAL(109,D2:D13)/V2</f>
        <v>93496.527499999982</v>
      </c>
      <c r="E14" s="88">
        <f>SUM(E2:E13)/V2</f>
        <v>2725.6533333333332</v>
      </c>
      <c r="F14" s="88">
        <f>SUBTOTAL(109,F2:F13)/V2</f>
        <v>83</v>
      </c>
      <c r="G14" s="88">
        <f>SUBTOTAL(109,G2:G13)/V2</f>
        <v>24.166666666666668</v>
      </c>
      <c r="H14" s="88">
        <f>SUBTOTAL(109,H2:H13)</f>
        <v>1247.8400000000001</v>
      </c>
      <c r="I14" s="88">
        <f>SUBTOTAL(109,I2:I13)/V2</f>
        <v>2538.2716666666665</v>
      </c>
      <c r="J14" s="88">
        <f>SUBTOTAL(109,J2:J13)/V2</f>
        <v>4.25</v>
      </c>
      <c r="K14" s="88">
        <f>SUBTOTAL(109,K2:K13)/V2</f>
        <v>74.541666666666671</v>
      </c>
      <c r="L14" s="90">
        <f>Tabela35[[#This Row],[FALTAS JUSTIFICADAS (horas)]]/Tabela35[[#This Row],[HHT]]</f>
        <v>3.0451414706688062E-2</v>
      </c>
      <c r="M14" s="90">
        <f>Tabela35[[#This Row],[FALTAS INJUSTIFICDAS (horas)]]/Tabela35[[#This Row],[HHT]]</f>
        <v>8.8663757680115841E-3</v>
      </c>
      <c r="N14" s="90">
        <f>Tabela35[[#This Row],[QUANT. DE HORAS EXTRAS]]/Tabela35[[#This Row],[HHT]]</f>
        <v>0.45781317262161009</v>
      </c>
      <c r="O14" s="90">
        <f>Tabela35[[#This Row],[HORAS DE TREINAMENTOS]]/Tabela35[[#This Row],[HHT]]</f>
        <v>2.7348183187884009E-2</v>
      </c>
      <c r="P14" s="91">
        <v>1.2E-2</v>
      </c>
      <c r="Q14" s="91">
        <v>1.4999999999999999E-2</v>
      </c>
      <c r="R14" s="91">
        <v>0.03</v>
      </c>
      <c r="S14" s="91">
        <v>0.02</v>
      </c>
      <c r="T14" s="92">
        <v>0.1</v>
      </c>
    </row>
  </sheetData>
  <conditionalFormatting sqref="M2:M13">
    <cfRule type="cellIs" dxfId="46" priority="1" operator="lessThan">
      <formula>0.015</formula>
    </cfRule>
    <cfRule type="cellIs" dxfId="45" priority="2" operator="greaterThan">
      <formula>0.015</formula>
    </cfRule>
    <cfRule type="cellIs" dxfId="44" priority="4" operator="greaterThan">
      <formula>0.015</formula>
    </cfRule>
    <cfRule type="cellIs" dxfId="43" priority="5" operator="greaterThan">
      <formula>"1;60%"</formula>
    </cfRule>
    <cfRule type="cellIs" dxfId="42" priority="6" operator="lessThan">
      <formula>0.015</formula>
    </cfRule>
  </conditionalFormatting>
  <conditionalFormatting sqref="O2:O13">
    <cfRule type="cellIs" dxfId="41" priority="3" operator="lessThan">
      <formula>0.06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3"/>
  <sheetViews>
    <sheetView tabSelected="1" topLeftCell="M22" zoomScaleNormal="100" zoomScaleSheetLayoutView="50" zoomScalePageLayoutView="90" workbookViewId="0">
      <selection activeCell="N58" sqref="N58"/>
    </sheetView>
  </sheetViews>
  <sheetFormatPr defaultRowHeight="15" x14ac:dyDescent="0.25"/>
  <cols>
    <col min="1" max="1" width="18" style="94" bestFit="1" customWidth="1"/>
    <col min="2" max="16384" width="9.140625" style="94"/>
  </cols>
  <sheetData>
    <row r="1" spans="2:43" ht="27.75" customHeight="1" x14ac:dyDescent="0.25"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</row>
    <row r="2" spans="2:43" ht="27.75" customHeight="1" x14ac:dyDescent="0.25"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</row>
    <row r="3" spans="2:43" ht="27.75" customHeight="1" x14ac:dyDescent="0.25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</row>
  </sheetData>
  <mergeCells count="1">
    <mergeCell ref="B1:AQ3"/>
  </mergeCells>
  <pageMargins left="0.511811024" right="0.511811024" top="0.78740157499999996" bottom="0.78740157499999996" header="0.31496062000000002" footer="0.31496062000000002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6" sqref="C6"/>
    </sheetView>
  </sheetViews>
  <sheetFormatPr defaultRowHeight="15" x14ac:dyDescent="0.25"/>
  <cols>
    <col min="1" max="1" width="18" bestFit="1" customWidth="1"/>
    <col min="2" max="2" width="37.5703125" bestFit="1" customWidth="1"/>
    <col min="3" max="3" width="19" bestFit="1" customWidth="1"/>
  </cols>
  <sheetData>
    <row r="1" spans="1:3" x14ac:dyDescent="0.25">
      <c r="A1" s="12" t="s">
        <v>0</v>
      </c>
      <c r="B1" t="s">
        <v>56</v>
      </c>
    </row>
    <row r="3" spans="1:3" x14ac:dyDescent="0.25">
      <c r="A3" s="12" t="s">
        <v>1</v>
      </c>
      <c r="B3" t="s">
        <v>17</v>
      </c>
      <c r="C3" t="s">
        <v>3</v>
      </c>
    </row>
    <row r="4" spans="1:3" x14ac:dyDescent="0.25">
      <c r="A4" s="13" t="s">
        <v>4</v>
      </c>
      <c r="B4" s="64">
        <v>2.6245571059883645E-2</v>
      </c>
      <c r="C4" s="64">
        <v>1.4999999999999999E-2</v>
      </c>
    </row>
    <row r="5" spans="1:3" x14ac:dyDescent="0.25">
      <c r="A5" s="13" t="s">
        <v>5</v>
      </c>
      <c r="B5" s="64">
        <v>2.7820752924571833E-2</v>
      </c>
      <c r="C5" s="64">
        <v>1.4999999999999999E-2</v>
      </c>
    </row>
    <row r="6" spans="1:3" x14ac:dyDescent="0.25">
      <c r="A6" s="13" t="s">
        <v>6</v>
      </c>
      <c r="B6" s="64">
        <v>2.7712196729691736E-2</v>
      </c>
      <c r="C6" s="64">
        <v>1.4999999999999999E-2</v>
      </c>
    </row>
    <row r="7" spans="1:3" x14ac:dyDescent="0.25">
      <c r="A7" s="13" t="s">
        <v>7</v>
      </c>
      <c r="B7" s="64">
        <v>2.7654451049740389E-2</v>
      </c>
      <c r="C7" s="64">
        <v>1.4999999999999999E-2</v>
      </c>
    </row>
    <row r="8" spans="1:3" x14ac:dyDescent="0.25">
      <c r="A8" s="13" t="s">
        <v>8</v>
      </c>
      <c r="B8" s="64" t="e">
        <v>#DIV/0!</v>
      </c>
      <c r="C8" s="64">
        <v>1.4999999999999999E-2</v>
      </c>
    </row>
    <row r="9" spans="1:3" x14ac:dyDescent="0.25">
      <c r="A9" s="13" t="s">
        <v>9</v>
      </c>
      <c r="B9" s="64" t="e">
        <v>#DIV/0!</v>
      </c>
      <c r="C9" s="64">
        <v>1.4999999999999999E-2</v>
      </c>
    </row>
    <row r="10" spans="1:3" x14ac:dyDescent="0.25">
      <c r="A10" s="13" t="s">
        <v>10</v>
      </c>
      <c r="B10" s="64" t="e">
        <v>#DIV/0!</v>
      </c>
      <c r="C10" s="64">
        <v>1.4999999999999999E-2</v>
      </c>
    </row>
    <row r="11" spans="1:3" x14ac:dyDescent="0.25">
      <c r="A11" s="13" t="s">
        <v>11</v>
      </c>
      <c r="B11" s="64" t="e">
        <v>#DIV/0!</v>
      </c>
      <c r="C11" s="64">
        <v>1.4999999999999999E-2</v>
      </c>
    </row>
    <row r="12" spans="1:3" x14ac:dyDescent="0.25">
      <c r="A12" s="13" t="s">
        <v>12</v>
      </c>
      <c r="B12" s="64" t="e">
        <v>#DIV/0!</v>
      </c>
      <c r="C12" s="64">
        <v>1.4999999999999999E-2</v>
      </c>
    </row>
    <row r="13" spans="1:3" x14ac:dyDescent="0.25">
      <c r="A13" s="13" t="s">
        <v>13</v>
      </c>
      <c r="B13" s="64" t="e">
        <v>#DIV/0!</v>
      </c>
      <c r="C13" s="64">
        <v>1.4999999999999999E-2</v>
      </c>
    </row>
    <row r="14" spans="1:3" x14ac:dyDescent="0.25">
      <c r="A14" s="13" t="s">
        <v>14</v>
      </c>
      <c r="B14" s="64" t="e">
        <v>#DIV/0!</v>
      </c>
      <c r="C14" s="64">
        <v>1.4999999999999999E-2</v>
      </c>
    </row>
    <row r="15" spans="1:3" x14ac:dyDescent="0.25">
      <c r="A15" s="13" t="s">
        <v>15</v>
      </c>
      <c r="B15" s="64" t="e">
        <v>#DIV/0!</v>
      </c>
      <c r="C15" s="64">
        <v>1.4999999999999999E-2</v>
      </c>
    </row>
    <row r="16" spans="1:3" x14ac:dyDescent="0.25">
      <c r="A16" s="13" t="s">
        <v>55</v>
      </c>
      <c r="B16" s="64">
        <v>2.7348183187884009E-2</v>
      </c>
      <c r="C16" s="64">
        <v>1.4999999999999999E-2</v>
      </c>
    </row>
    <row r="17" spans="1:3" x14ac:dyDescent="0.25">
      <c r="A17" s="13" t="s">
        <v>16</v>
      </c>
      <c r="B17" s="65" t="e">
        <v>#DIV/0!</v>
      </c>
      <c r="C17" s="65">
        <v>0.19500000000000006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6" sqref="C6"/>
    </sheetView>
  </sheetViews>
  <sheetFormatPr defaultRowHeight="15" x14ac:dyDescent="0.25"/>
  <cols>
    <col min="1" max="1" width="18" bestFit="1" customWidth="1"/>
    <col min="2" max="2" width="28" bestFit="1" customWidth="1"/>
    <col min="3" max="3" width="17.42578125" bestFit="1" customWidth="1"/>
  </cols>
  <sheetData>
    <row r="1" spans="1:3" x14ac:dyDescent="0.25">
      <c r="A1" s="12" t="s">
        <v>0</v>
      </c>
      <c r="B1" t="s">
        <v>56</v>
      </c>
    </row>
    <row r="3" spans="1:3" x14ac:dyDescent="0.25">
      <c r="A3" s="12" t="s">
        <v>1</v>
      </c>
      <c r="B3" t="s">
        <v>57</v>
      </c>
      <c r="C3" t="s">
        <v>58</v>
      </c>
    </row>
    <row r="4" spans="1:3" x14ac:dyDescent="0.25">
      <c r="A4" s="13" t="s">
        <v>4</v>
      </c>
      <c r="B4" s="64">
        <v>3.766239447093303E-2</v>
      </c>
      <c r="C4" s="64">
        <v>0.1</v>
      </c>
    </row>
    <row r="5" spans="1:3" x14ac:dyDescent="0.25">
      <c r="A5" s="13" t="s">
        <v>5</v>
      </c>
      <c r="B5" s="64">
        <v>5.4546770530810917E-2</v>
      </c>
      <c r="C5" s="64">
        <v>0.1</v>
      </c>
    </row>
    <row r="6" spans="1:3" x14ac:dyDescent="0.25">
      <c r="A6" s="13" t="s">
        <v>6</v>
      </c>
      <c r="B6" s="64">
        <v>2.3346853118631071E-2</v>
      </c>
      <c r="C6" s="64">
        <v>0.1</v>
      </c>
    </row>
    <row r="7" spans="1:3" x14ac:dyDescent="0.25">
      <c r="A7" s="13" t="s">
        <v>7</v>
      </c>
      <c r="B7" s="64">
        <v>3.4289010961446813E-2</v>
      </c>
      <c r="C7" s="64">
        <v>0.1</v>
      </c>
    </row>
    <row r="8" spans="1:3" x14ac:dyDescent="0.25">
      <c r="A8" s="13" t="s">
        <v>8</v>
      </c>
      <c r="B8" s="64" t="e">
        <v>#DIV/0!</v>
      </c>
      <c r="C8" s="64">
        <v>0.1</v>
      </c>
    </row>
    <row r="9" spans="1:3" x14ac:dyDescent="0.25">
      <c r="A9" s="13" t="s">
        <v>9</v>
      </c>
      <c r="B9" s="64" t="e">
        <v>#DIV/0!</v>
      </c>
      <c r="C9" s="64">
        <v>0.1</v>
      </c>
    </row>
    <row r="10" spans="1:3" x14ac:dyDescent="0.25">
      <c r="A10" s="13" t="s">
        <v>10</v>
      </c>
      <c r="B10" s="64" t="e">
        <v>#DIV/0!</v>
      </c>
      <c r="C10" s="64">
        <v>0.1</v>
      </c>
    </row>
    <row r="11" spans="1:3" x14ac:dyDescent="0.25">
      <c r="A11" s="13" t="s">
        <v>11</v>
      </c>
      <c r="B11" s="64" t="e">
        <v>#DIV/0!</v>
      </c>
      <c r="C11" s="64">
        <v>0.1</v>
      </c>
    </row>
    <row r="12" spans="1:3" x14ac:dyDescent="0.25">
      <c r="A12" s="13" t="s">
        <v>12</v>
      </c>
      <c r="B12" s="64" t="e">
        <v>#DIV/0!</v>
      </c>
      <c r="C12" s="64">
        <v>0.1</v>
      </c>
    </row>
    <row r="13" spans="1:3" x14ac:dyDescent="0.25">
      <c r="A13" s="13" t="s">
        <v>13</v>
      </c>
      <c r="B13" s="64" t="e">
        <v>#DIV/0!</v>
      </c>
      <c r="C13" s="64">
        <v>0.1</v>
      </c>
    </row>
    <row r="14" spans="1:3" x14ac:dyDescent="0.25">
      <c r="A14" s="13" t="s">
        <v>14</v>
      </c>
      <c r="B14" s="64" t="e">
        <v>#DIV/0!</v>
      </c>
      <c r="C14" s="64">
        <v>0.1</v>
      </c>
    </row>
    <row r="15" spans="1:3" x14ac:dyDescent="0.25">
      <c r="A15" s="13" t="s">
        <v>15</v>
      </c>
      <c r="B15" s="64" t="e">
        <v>#DIV/0!</v>
      </c>
      <c r="C15" s="64">
        <v>0.1</v>
      </c>
    </row>
    <row r="16" spans="1:3" x14ac:dyDescent="0.25">
      <c r="A16" s="13" t="s">
        <v>55</v>
      </c>
      <c r="B16" s="64">
        <v>0.45781317262161009</v>
      </c>
      <c r="C16" s="64">
        <v>0.1</v>
      </c>
    </row>
    <row r="17" spans="1:3" x14ac:dyDescent="0.25">
      <c r="A17" s="13" t="s">
        <v>16</v>
      </c>
      <c r="B17" s="65" t="e">
        <v>#DIV/0!</v>
      </c>
      <c r="C17" s="65">
        <v>1.3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zoomScale="110" zoomScaleNormal="110" workbookViewId="0">
      <selection activeCell="C6" sqref="C6"/>
    </sheetView>
  </sheetViews>
  <sheetFormatPr defaultRowHeight="15" x14ac:dyDescent="0.25"/>
  <cols>
    <col min="1" max="1" width="18" bestFit="1" customWidth="1"/>
    <col min="2" max="2" width="22.28515625" bestFit="1" customWidth="1"/>
    <col min="3" max="3" width="19.28515625" bestFit="1" customWidth="1"/>
    <col min="4" max="26" width="22.28515625" bestFit="1" customWidth="1"/>
    <col min="27" max="27" width="27.5703125" bestFit="1" customWidth="1"/>
    <col min="28" max="28" width="24.42578125" bestFit="1" customWidth="1"/>
  </cols>
  <sheetData>
    <row r="1" spans="1:3" x14ac:dyDescent="0.25">
      <c r="A1" s="12" t="s">
        <v>0</v>
      </c>
      <c r="B1" t="s">
        <v>56</v>
      </c>
    </row>
    <row r="3" spans="1:3" x14ac:dyDescent="0.25">
      <c r="A3" s="12" t="s">
        <v>1</v>
      </c>
      <c r="B3" t="s">
        <v>2</v>
      </c>
      <c r="C3" t="s">
        <v>95</v>
      </c>
    </row>
    <row r="4" spans="1:3" x14ac:dyDescent="0.25">
      <c r="A4" s="13" t="s">
        <v>4</v>
      </c>
      <c r="B4" s="65">
        <v>2.1989532509632245E-2</v>
      </c>
      <c r="C4" s="65">
        <v>0.02</v>
      </c>
    </row>
    <row r="5" spans="1:3" x14ac:dyDescent="0.25">
      <c r="A5" s="13" t="s">
        <v>5</v>
      </c>
      <c r="B5" s="65">
        <v>3.1665897637724039E-2</v>
      </c>
      <c r="C5" s="65">
        <v>0.02</v>
      </c>
    </row>
    <row r="6" spans="1:3" x14ac:dyDescent="0.25">
      <c r="A6" s="13" t="s">
        <v>6</v>
      </c>
      <c r="B6" s="65">
        <v>2.8519348090750716E-2</v>
      </c>
      <c r="C6" s="65">
        <v>0.02</v>
      </c>
    </row>
    <row r="7" spans="1:3" x14ac:dyDescent="0.25">
      <c r="A7" s="13" t="s">
        <v>7</v>
      </c>
      <c r="B7" s="65">
        <v>3.9882609677176613E-2</v>
      </c>
      <c r="C7" s="65">
        <v>0.02</v>
      </c>
    </row>
    <row r="8" spans="1:3" x14ac:dyDescent="0.25">
      <c r="A8" s="13" t="s">
        <v>8</v>
      </c>
      <c r="B8" s="65" t="e">
        <v>#DIV/0!</v>
      </c>
      <c r="C8" s="65">
        <v>0.02</v>
      </c>
    </row>
    <row r="9" spans="1:3" x14ac:dyDescent="0.25">
      <c r="A9" s="13" t="s">
        <v>9</v>
      </c>
      <c r="B9" s="65" t="e">
        <v>#DIV/0!</v>
      </c>
      <c r="C9" s="65">
        <v>0.02</v>
      </c>
    </row>
    <row r="10" spans="1:3" x14ac:dyDescent="0.25">
      <c r="A10" s="13" t="s">
        <v>10</v>
      </c>
      <c r="B10" s="65" t="e">
        <v>#DIV/0!</v>
      </c>
      <c r="C10" s="65">
        <v>0.02</v>
      </c>
    </row>
    <row r="11" spans="1:3" x14ac:dyDescent="0.25">
      <c r="A11" s="13" t="s">
        <v>11</v>
      </c>
      <c r="B11" s="65" t="e">
        <v>#DIV/0!</v>
      </c>
      <c r="C11" s="65">
        <v>0.02</v>
      </c>
    </row>
    <row r="12" spans="1:3" x14ac:dyDescent="0.25">
      <c r="A12" s="13" t="s">
        <v>12</v>
      </c>
      <c r="B12" s="65" t="e">
        <v>#DIV/0!</v>
      </c>
      <c r="C12" s="65">
        <v>0.02</v>
      </c>
    </row>
    <row r="13" spans="1:3" x14ac:dyDescent="0.25">
      <c r="A13" s="13" t="s">
        <v>13</v>
      </c>
      <c r="B13" s="65" t="e">
        <v>#DIV/0!</v>
      </c>
      <c r="C13" s="65">
        <v>0.02</v>
      </c>
    </row>
    <row r="14" spans="1:3" x14ac:dyDescent="0.25">
      <c r="A14" s="13" t="s">
        <v>14</v>
      </c>
      <c r="B14" s="65" t="e">
        <v>#DIV/0!</v>
      </c>
      <c r="C14" s="65">
        <v>0.02</v>
      </c>
    </row>
    <row r="15" spans="1:3" x14ac:dyDescent="0.25">
      <c r="A15" s="13" t="s">
        <v>15</v>
      </c>
      <c r="B15" s="65" t="e">
        <v>#DIV/0!</v>
      </c>
      <c r="C15" s="65">
        <v>0.02</v>
      </c>
    </row>
    <row r="16" spans="1:3" x14ac:dyDescent="0.25">
      <c r="A16" s="13" t="s">
        <v>55</v>
      </c>
      <c r="B16" s="65">
        <v>3.0451414706688062E-2</v>
      </c>
      <c r="C16" s="65">
        <v>0.02</v>
      </c>
    </row>
    <row r="17" spans="1:3" x14ac:dyDescent="0.25">
      <c r="A17" s="13" t="s">
        <v>16</v>
      </c>
      <c r="B17" s="64" t="e">
        <v>#DIV/0!</v>
      </c>
      <c r="C17" s="64">
        <v>0.25999999999999995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W46" sqref="AW46"/>
    </sheetView>
  </sheetViews>
  <sheetFormatPr defaultRowHeight="15" x14ac:dyDescent="0.25"/>
  <cols>
    <col min="1" max="1" width="18" bestFit="1" customWidth="1"/>
    <col min="2" max="2" width="28.7109375" bestFit="1" customWidth="1"/>
  </cols>
  <sheetData>
    <row r="1" spans="1:2" x14ac:dyDescent="0.25">
      <c r="A1" s="12" t="s">
        <v>0</v>
      </c>
      <c r="B1" s="13">
        <v>2022</v>
      </c>
    </row>
    <row r="3" spans="1:2" x14ac:dyDescent="0.25">
      <c r="A3" s="12" t="s">
        <v>1</v>
      </c>
      <c r="B3" t="s">
        <v>59</v>
      </c>
    </row>
    <row r="4" spans="1:2" x14ac:dyDescent="0.25">
      <c r="A4" s="13" t="s">
        <v>4</v>
      </c>
      <c r="B4">
        <v>27</v>
      </c>
    </row>
    <row r="5" spans="1:2" x14ac:dyDescent="0.25">
      <c r="A5" s="13" t="s">
        <v>5</v>
      </c>
      <c r="B5">
        <v>25</v>
      </c>
    </row>
    <row r="6" spans="1:2" x14ac:dyDescent="0.25">
      <c r="A6" s="13" t="s">
        <v>6</v>
      </c>
      <c r="B6">
        <v>26</v>
      </c>
    </row>
    <row r="7" spans="1:2" x14ac:dyDescent="0.25">
      <c r="A7" s="13" t="s">
        <v>7</v>
      </c>
      <c r="B7">
        <v>27</v>
      </c>
    </row>
    <row r="8" spans="1:2" x14ac:dyDescent="0.25">
      <c r="A8" s="13" t="s">
        <v>8</v>
      </c>
      <c r="B8">
        <v>28</v>
      </c>
    </row>
    <row r="9" spans="1:2" x14ac:dyDescent="0.25">
      <c r="A9" s="13" t="s">
        <v>9</v>
      </c>
      <c r="B9">
        <v>27</v>
      </c>
    </row>
    <row r="10" spans="1:2" x14ac:dyDescent="0.25">
      <c r="A10" s="13" t="s">
        <v>10</v>
      </c>
      <c r="B10">
        <v>25</v>
      </c>
    </row>
    <row r="11" spans="1:2" x14ac:dyDescent="0.25">
      <c r="A11" s="13" t="s">
        <v>11</v>
      </c>
    </row>
    <row r="12" spans="1:2" x14ac:dyDescent="0.25">
      <c r="A12" s="13" t="s">
        <v>12</v>
      </c>
    </row>
    <row r="13" spans="1:2" x14ac:dyDescent="0.25">
      <c r="A13" s="13" t="s">
        <v>13</v>
      </c>
    </row>
    <row r="14" spans="1:2" x14ac:dyDescent="0.25">
      <c r="A14" s="13" t="s">
        <v>14</v>
      </c>
    </row>
    <row r="15" spans="1:2" x14ac:dyDescent="0.25">
      <c r="A15" s="13" t="s">
        <v>15</v>
      </c>
    </row>
    <row r="16" spans="1:2" x14ac:dyDescent="0.25">
      <c r="A16" s="13" t="s">
        <v>16</v>
      </c>
      <c r="B16">
        <v>185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J31" sqref="J30:J31"/>
    </sheetView>
  </sheetViews>
  <sheetFormatPr defaultRowHeight="15" x14ac:dyDescent="0.25"/>
  <cols>
    <col min="1" max="1" width="18" bestFit="1" customWidth="1"/>
    <col min="2" max="2" width="17.85546875" bestFit="1" customWidth="1"/>
  </cols>
  <sheetData>
    <row r="1" spans="1:2" x14ac:dyDescent="0.25">
      <c r="A1" s="12" t="s">
        <v>0</v>
      </c>
      <c r="B1" s="13">
        <v>2022</v>
      </c>
    </row>
    <row r="3" spans="1:2" x14ac:dyDescent="0.25">
      <c r="A3" s="12" t="s">
        <v>1</v>
      </c>
      <c r="B3" t="s">
        <v>60</v>
      </c>
    </row>
    <row r="4" spans="1:2" x14ac:dyDescent="0.25">
      <c r="A4" s="13" t="s">
        <v>4</v>
      </c>
      <c r="B4">
        <v>61011.13</v>
      </c>
    </row>
    <row r="5" spans="1:2" x14ac:dyDescent="0.25">
      <c r="A5" s="13" t="s">
        <v>5</v>
      </c>
      <c r="B5">
        <v>54585.35</v>
      </c>
    </row>
    <row r="6" spans="1:2" x14ac:dyDescent="0.25">
      <c r="A6" s="13" t="s">
        <v>6</v>
      </c>
      <c r="B6">
        <v>55022.55</v>
      </c>
    </row>
    <row r="7" spans="1:2" x14ac:dyDescent="0.25">
      <c r="A7" s="13" t="s">
        <v>7</v>
      </c>
      <c r="B7">
        <v>63688.01</v>
      </c>
    </row>
    <row r="8" spans="1:2" x14ac:dyDescent="0.25">
      <c r="A8" s="13" t="s">
        <v>8</v>
      </c>
      <c r="B8">
        <v>67510.149999999994</v>
      </c>
    </row>
    <row r="9" spans="1:2" x14ac:dyDescent="0.25">
      <c r="A9" s="13" t="s">
        <v>9</v>
      </c>
      <c r="B9">
        <v>64857.93</v>
      </c>
    </row>
    <row r="10" spans="1:2" x14ac:dyDescent="0.25">
      <c r="A10" s="13" t="s">
        <v>10</v>
      </c>
      <c r="B10">
        <v>66370.91</v>
      </c>
    </row>
    <row r="11" spans="1:2" x14ac:dyDescent="0.25">
      <c r="A11" s="13" t="s">
        <v>11</v>
      </c>
    </row>
    <row r="12" spans="1:2" x14ac:dyDescent="0.25">
      <c r="A12" s="13" t="s">
        <v>12</v>
      </c>
    </row>
    <row r="13" spans="1:2" x14ac:dyDescent="0.25">
      <c r="A13" s="13" t="s">
        <v>13</v>
      </c>
    </row>
    <row r="14" spans="1:2" x14ac:dyDescent="0.25">
      <c r="A14" s="13" t="s">
        <v>14</v>
      </c>
    </row>
    <row r="15" spans="1:2" x14ac:dyDescent="0.25">
      <c r="A15" s="13" t="s">
        <v>15</v>
      </c>
    </row>
    <row r="16" spans="1:2" x14ac:dyDescent="0.25">
      <c r="A16" s="13" t="s">
        <v>16</v>
      </c>
      <c r="B16">
        <v>433046.03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6" sqref="C6"/>
    </sheetView>
  </sheetViews>
  <sheetFormatPr defaultRowHeight="15" x14ac:dyDescent="0.25"/>
  <cols>
    <col min="1" max="1" width="18" bestFit="1" customWidth="1"/>
    <col min="2" max="2" width="36.28515625" bestFit="1" customWidth="1"/>
    <col min="3" max="4" width="19" bestFit="1" customWidth="1"/>
  </cols>
  <sheetData>
    <row r="1" spans="1:3" x14ac:dyDescent="0.25">
      <c r="A1" s="12" t="s">
        <v>0</v>
      </c>
      <c r="B1" t="s">
        <v>56</v>
      </c>
    </row>
    <row r="3" spans="1:3" x14ac:dyDescent="0.25">
      <c r="A3" s="12" t="s">
        <v>1</v>
      </c>
      <c r="B3" t="s">
        <v>61</v>
      </c>
      <c r="C3" t="s">
        <v>3</v>
      </c>
    </row>
    <row r="4" spans="1:3" x14ac:dyDescent="0.25">
      <c r="A4" s="13" t="s">
        <v>4</v>
      </c>
      <c r="B4" s="64">
        <v>2.2935318854132556E-2</v>
      </c>
      <c r="C4" s="64">
        <v>1.4999999999999999E-2</v>
      </c>
    </row>
    <row r="5" spans="1:3" x14ac:dyDescent="0.25">
      <c r="A5" s="13" t="s">
        <v>5</v>
      </c>
      <c r="B5" s="64">
        <v>4.0713296962788048E-3</v>
      </c>
      <c r="C5" s="64">
        <v>1.4999999999999999E-2</v>
      </c>
    </row>
    <row r="6" spans="1:3" x14ac:dyDescent="0.25">
      <c r="A6" s="13" t="s">
        <v>6</v>
      </c>
      <c r="B6" s="64">
        <v>3.4976558979222579E-3</v>
      </c>
      <c r="C6" s="64">
        <v>1.4999999999999999E-2</v>
      </c>
    </row>
    <row r="7" spans="1:3" x14ac:dyDescent="0.25">
      <c r="A7" s="13" t="s">
        <v>7</v>
      </c>
      <c r="B7" s="64">
        <v>4.2641783931572476E-3</v>
      </c>
      <c r="C7" s="64">
        <v>1.4999999999999999E-2</v>
      </c>
    </row>
    <row r="8" spans="1:3" x14ac:dyDescent="0.25">
      <c r="A8" s="13" t="s">
        <v>8</v>
      </c>
      <c r="B8" s="64" t="e">
        <v>#DIV/0!</v>
      </c>
      <c r="C8" s="64">
        <v>1.4999999999999999E-2</v>
      </c>
    </row>
    <row r="9" spans="1:3" x14ac:dyDescent="0.25">
      <c r="A9" s="13" t="s">
        <v>9</v>
      </c>
      <c r="B9" s="64" t="e">
        <v>#DIV/0!</v>
      </c>
      <c r="C9" s="64">
        <v>1.4999999999999999E-2</v>
      </c>
    </row>
    <row r="10" spans="1:3" x14ac:dyDescent="0.25">
      <c r="A10" s="13" t="s">
        <v>10</v>
      </c>
      <c r="B10" s="64" t="e">
        <v>#DIV/0!</v>
      </c>
      <c r="C10" s="64">
        <v>1.4999999999999999E-2</v>
      </c>
    </row>
    <row r="11" spans="1:3" x14ac:dyDescent="0.25">
      <c r="A11" s="13" t="s">
        <v>11</v>
      </c>
      <c r="B11" s="64" t="e">
        <v>#DIV/0!</v>
      </c>
      <c r="C11" s="64">
        <v>1.4999999999999999E-2</v>
      </c>
    </row>
    <row r="12" spans="1:3" x14ac:dyDescent="0.25">
      <c r="A12" s="13" t="s">
        <v>12</v>
      </c>
      <c r="B12" s="64" t="e">
        <v>#DIV/0!</v>
      </c>
      <c r="C12" s="64">
        <v>1.4999999999999999E-2</v>
      </c>
    </row>
    <row r="13" spans="1:3" x14ac:dyDescent="0.25">
      <c r="A13" s="13" t="s">
        <v>13</v>
      </c>
      <c r="B13" s="64" t="e">
        <v>#DIV/0!</v>
      </c>
      <c r="C13" s="64">
        <v>1.4999999999999999E-2</v>
      </c>
    </row>
    <row r="14" spans="1:3" x14ac:dyDescent="0.25">
      <c r="A14" s="13" t="s">
        <v>14</v>
      </c>
      <c r="B14" s="64" t="e">
        <v>#DIV/0!</v>
      </c>
      <c r="C14" s="64">
        <v>1.4999999999999999E-2</v>
      </c>
    </row>
    <row r="15" spans="1:3" x14ac:dyDescent="0.25">
      <c r="A15" s="13" t="s">
        <v>15</v>
      </c>
      <c r="B15" s="64" t="e">
        <v>#DIV/0!</v>
      </c>
      <c r="C15" s="64">
        <v>1.4999999999999999E-2</v>
      </c>
    </row>
    <row r="16" spans="1:3" x14ac:dyDescent="0.25">
      <c r="A16" s="13" t="s">
        <v>55</v>
      </c>
      <c r="B16" s="64">
        <v>8.8663757680115841E-3</v>
      </c>
      <c r="C16" s="64">
        <v>1.4999999999999999E-2</v>
      </c>
    </row>
    <row r="17" spans="1:3" x14ac:dyDescent="0.25">
      <c r="A17" s="13" t="s">
        <v>16</v>
      </c>
      <c r="B17" s="65" t="e">
        <v>#DIV/0!</v>
      </c>
      <c r="C17" s="65">
        <v>0.19500000000000006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23" sqref="B23"/>
    </sheetView>
  </sheetViews>
  <sheetFormatPr defaultRowHeight="15" x14ac:dyDescent="0.25"/>
  <cols>
    <col min="1" max="1" width="18" bestFit="1" customWidth="1"/>
    <col min="2" max="2" width="36.28515625" bestFit="1" customWidth="1"/>
    <col min="3" max="4" width="19" bestFit="1" customWidth="1"/>
  </cols>
  <sheetData>
    <row r="1" spans="1:3" x14ac:dyDescent="0.25">
      <c r="A1" s="12" t="s">
        <v>0</v>
      </c>
      <c r="B1" s="13">
        <v>2022</v>
      </c>
    </row>
    <row r="3" spans="1:3" x14ac:dyDescent="0.25">
      <c r="A3" s="12" t="s">
        <v>1</v>
      </c>
      <c r="B3" t="s">
        <v>61</v>
      </c>
      <c r="C3" t="s">
        <v>3</v>
      </c>
    </row>
    <row r="4" spans="1:3" x14ac:dyDescent="0.25">
      <c r="A4" s="13" t="s">
        <v>4</v>
      </c>
      <c r="B4">
        <v>7.6717751456879821E-3</v>
      </c>
      <c r="C4">
        <v>1.4999999999999999E-2</v>
      </c>
    </row>
    <row r="5" spans="1:3" x14ac:dyDescent="0.25">
      <c r="A5" s="13" t="s">
        <v>5</v>
      </c>
      <c r="B5">
        <v>1.6729126604355798E-2</v>
      </c>
      <c r="C5">
        <v>1.4999999999999999E-2</v>
      </c>
    </row>
    <row r="6" spans="1:3" x14ac:dyDescent="0.25">
      <c r="A6" s="13" t="s">
        <v>6</v>
      </c>
      <c r="B6">
        <v>1.4875482776420501E-2</v>
      </c>
      <c r="C6">
        <v>1.4999999999999999E-2</v>
      </c>
    </row>
    <row r="7" spans="1:3" x14ac:dyDescent="0.25">
      <c r="A7" s="13" t="s">
        <v>7</v>
      </c>
      <c r="B7">
        <v>1.5908444587916099E-2</v>
      </c>
      <c r="C7">
        <v>1.4999999999999999E-2</v>
      </c>
    </row>
    <row r="8" spans="1:3" x14ac:dyDescent="0.25">
      <c r="A8" s="13" t="s">
        <v>8</v>
      </c>
      <c r="B8">
        <v>1.6958340821361152E-2</v>
      </c>
      <c r="C8">
        <v>1.4999999999999999E-2</v>
      </c>
    </row>
    <row r="9" spans="1:3" x14ac:dyDescent="0.25">
      <c r="A9" s="13" t="s">
        <v>9</v>
      </c>
      <c r="B9">
        <v>9.9004551348877406E-3</v>
      </c>
      <c r="C9">
        <v>1.4999999999999999E-2</v>
      </c>
    </row>
    <row r="10" spans="1:3" x14ac:dyDescent="0.25">
      <c r="A10" s="13" t="s">
        <v>10</v>
      </c>
      <c r="B10">
        <v>1.1517307631403928E-2</v>
      </c>
      <c r="C10">
        <v>1.4999999999999999E-2</v>
      </c>
    </row>
    <row r="11" spans="1:3" x14ac:dyDescent="0.25">
      <c r="A11" s="13" t="s">
        <v>11</v>
      </c>
      <c r="B11" t="e">
        <v>#DIV/0!</v>
      </c>
      <c r="C11">
        <v>1.4999999999999999E-2</v>
      </c>
    </row>
    <row r="12" spans="1:3" x14ac:dyDescent="0.25">
      <c r="A12" s="13" t="s">
        <v>12</v>
      </c>
      <c r="B12" t="e">
        <v>#DIV/0!</v>
      </c>
      <c r="C12">
        <v>1.4999999999999999E-2</v>
      </c>
    </row>
    <row r="13" spans="1:3" x14ac:dyDescent="0.25">
      <c r="A13" s="13" t="s">
        <v>13</v>
      </c>
      <c r="B13" t="e">
        <v>#DIV/0!</v>
      </c>
      <c r="C13">
        <v>1.4999999999999999E-2</v>
      </c>
    </row>
    <row r="14" spans="1:3" x14ac:dyDescent="0.25">
      <c r="A14" s="13" t="s">
        <v>14</v>
      </c>
      <c r="B14" t="e">
        <v>#DIV/0!</v>
      </c>
      <c r="C14">
        <v>1.4999999999999999E-2</v>
      </c>
    </row>
    <row r="15" spans="1:3" x14ac:dyDescent="0.25">
      <c r="A15" s="13" t="s">
        <v>15</v>
      </c>
      <c r="B15" t="e">
        <v>#DIV/0!</v>
      </c>
      <c r="C15">
        <v>1.4999999999999999E-2</v>
      </c>
    </row>
    <row r="16" spans="1:3" x14ac:dyDescent="0.25">
      <c r="A16" s="13" t="s">
        <v>16</v>
      </c>
      <c r="B16" t="e">
        <v>#DIV/0!</v>
      </c>
      <c r="C16">
        <v>0.18000000000000005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6" sqref="B6"/>
    </sheetView>
  </sheetViews>
  <sheetFormatPr defaultRowHeight="15" x14ac:dyDescent="0.25"/>
  <cols>
    <col min="1" max="1" width="18" bestFit="1" customWidth="1"/>
    <col min="2" max="2" width="28" bestFit="1" customWidth="1"/>
    <col min="3" max="3" width="17.42578125" bestFit="1" customWidth="1"/>
  </cols>
  <sheetData>
    <row r="1" spans="1:3" x14ac:dyDescent="0.25">
      <c r="A1" s="12" t="s">
        <v>0</v>
      </c>
      <c r="B1" s="13">
        <v>2022</v>
      </c>
    </row>
    <row r="3" spans="1:3" x14ac:dyDescent="0.25">
      <c r="A3" s="12" t="s">
        <v>1</v>
      </c>
      <c r="B3" t="s">
        <v>57</v>
      </c>
      <c r="C3" t="s">
        <v>58</v>
      </c>
    </row>
    <row r="4" spans="1:3" x14ac:dyDescent="0.25">
      <c r="A4" s="13" t="s">
        <v>4</v>
      </c>
      <c r="B4">
        <v>2.1885718708164619E-2</v>
      </c>
      <c r="C4">
        <v>0.06</v>
      </c>
    </row>
    <row r="5" spans="1:3" x14ac:dyDescent="0.25">
      <c r="A5" s="13" t="s">
        <v>5</v>
      </c>
      <c r="B5">
        <v>1.6144179598407943E-2</v>
      </c>
      <c r="C5">
        <v>0.06</v>
      </c>
    </row>
    <row r="6" spans="1:3" x14ac:dyDescent="0.25">
      <c r="A6" s="13" t="s">
        <v>6</v>
      </c>
      <c r="B6">
        <v>3.8230343832652079E-2</v>
      </c>
      <c r="C6">
        <v>0.06</v>
      </c>
    </row>
    <row r="7" spans="1:3" x14ac:dyDescent="0.25">
      <c r="A7" s="13" t="s">
        <v>7</v>
      </c>
      <c r="B7">
        <v>8.6905393253245408E-2</v>
      </c>
      <c r="C7">
        <v>0.06</v>
      </c>
    </row>
    <row r="8" spans="1:3" x14ac:dyDescent="0.25">
      <c r="A8" s="13" t="s">
        <v>8</v>
      </c>
      <c r="B8">
        <v>8.5099146439090029E-2</v>
      </c>
      <c r="C8">
        <v>0.06</v>
      </c>
    </row>
    <row r="9" spans="1:3" x14ac:dyDescent="0.25">
      <c r="A9" s="13" t="s">
        <v>9</v>
      </c>
      <c r="B9">
        <v>5.6040072211345313E-2</v>
      </c>
      <c r="C9">
        <v>0.06</v>
      </c>
    </row>
    <row r="10" spans="1:3" x14ac:dyDescent="0.25">
      <c r="A10" s="13" t="s">
        <v>10</v>
      </c>
      <c r="B10">
        <v>3.2306874843849517E-2</v>
      </c>
      <c r="C10">
        <v>0.06</v>
      </c>
    </row>
    <row r="11" spans="1:3" x14ac:dyDescent="0.25">
      <c r="A11" s="13" t="s">
        <v>11</v>
      </c>
      <c r="B11" t="e">
        <v>#DIV/0!</v>
      </c>
      <c r="C11">
        <v>0.06</v>
      </c>
    </row>
    <row r="12" spans="1:3" x14ac:dyDescent="0.25">
      <c r="A12" s="13" t="s">
        <v>12</v>
      </c>
      <c r="B12" t="e">
        <v>#DIV/0!</v>
      </c>
      <c r="C12">
        <v>0.06</v>
      </c>
    </row>
    <row r="13" spans="1:3" x14ac:dyDescent="0.25">
      <c r="A13" s="13" t="s">
        <v>13</v>
      </c>
      <c r="B13" t="e">
        <v>#DIV/0!</v>
      </c>
      <c r="C13">
        <v>0.06</v>
      </c>
    </row>
    <row r="14" spans="1:3" x14ac:dyDescent="0.25">
      <c r="A14" s="13" t="s">
        <v>14</v>
      </c>
      <c r="B14" t="e">
        <v>#DIV/0!</v>
      </c>
      <c r="C14">
        <v>0.06</v>
      </c>
    </row>
    <row r="15" spans="1:3" x14ac:dyDescent="0.25">
      <c r="A15" s="13" t="s">
        <v>15</v>
      </c>
      <c r="B15" t="e">
        <v>#DIV/0!</v>
      </c>
      <c r="C15">
        <v>0.06</v>
      </c>
    </row>
    <row r="16" spans="1:3" x14ac:dyDescent="0.25">
      <c r="A16" s="13" t="s">
        <v>16</v>
      </c>
      <c r="B16" t="e">
        <v>#DIV/0!</v>
      </c>
      <c r="C16">
        <v>0.7200000000000002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FD1482-2721-4D22-A1CC-B914037137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ABSENTEISMO X HHT</vt:lpstr>
      <vt:lpstr>HORAS TERINAMENTOS X HHT</vt:lpstr>
      <vt:lpstr>Indicadores - Dados</vt:lpstr>
      <vt:lpstr>DASHBOARD</vt:lpstr>
      <vt:lpstr>01.2026</vt:lpstr>
      <vt:lpstr>02.2026</vt:lpstr>
      <vt:lpstr>03.2026</vt:lpstr>
      <vt:lpstr>04.2026</vt:lpstr>
      <vt:lpstr>INDICADORES 2026</vt:lpstr>
      <vt:lpstr>DASHBOARD 2026</vt:lpstr>
      <vt:lpstr>TB TREINAMENTOS</vt:lpstr>
      <vt:lpstr>TB HORAS EXTRAS</vt:lpstr>
      <vt:lpstr>TB ABSENTEISMO</vt:lpstr>
      <vt:lpstr>NUMERO DE FUNCIONARIOS</vt:lpstr>
      <vt:lpstr>SALARIOS</vt:lpstr>
      <vt:lpstr>TB FALTAS INJUSTIFICADAS</vt:lpstr>
      <vt:lpstr>FALTAS INJUSTIFICADAS X HHT</vt:lpstr>
      <vt:lpstr>HORAS EXTRAS X HHT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</dc:creator>
  <cp:keywords/>
  <dc:description/>
  <cp:lastModifiedBy>Rh</cp:lastModifiedBy>
  <cp:revision/>
  <cp:lastPrinted>2025-11-19T10:48:06Z</cp:lastPrinted>
  <dcterms:created xsi:type="dcterms:W3CDTF">2021-08-11T10:30:12Z</dcterms:created>
  <dcterms:modified xsi:type="dcterms:W3CDTF">2026-05-05T19:12:50Z</dcterms:modified>
  <cp:category/>
  <cp:contentStatus/>
</cp:coreProperties>
</file>