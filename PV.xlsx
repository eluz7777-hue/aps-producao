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5D372EBE-2BED-4CF2-BF94-69E3D144BA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DadosExternos_1" localSheetId="0" hidden="1">Planilha1!$A$1:$Y$208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1" l="1"/>
  <c r="Y110" i="1" l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G110" i="1"/>
  <c r="F110" i="1"/>
  <c r="Y80" i="1" l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G80" i="1"/>
  <c r="Y104" i="1" l="1"/>
  <c r="X104" i="1"/>
  <c r="W104" i="1"/>
  <c r="V104" i="1"/>
  <c r="U104" i="1"/>
  <c r="S104" i="1"/>
  <c r="R104" i="1"/>
  <c r="Q104" i="1"/>
  <c r="P104" i="1"/>
  <c r="O104" i="1"/>
  <c r="N104" i="1"/>
  <c r="M104" i="1"/>
  <c r="L104" i="1"/>
  <c r="K104" i="1"/>
  <c r="J104" i="1"/>
  <c r="I104" i="1"/>
  <c r="G104" i="1"/>
  <c r="F10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Follow_Up" description="Conexão com a consulta 'Follow_Up' na pasta de trabalho." type="5" refreshedVersion="6" background="1" saveData="1">
    <dbPr connection="Provider=Microsoft.Mashup.OleDb.1;Data Source=$Workbook$;Location=Follow_Up;Extended Properties=&quot;&quot;" command="SELECT * FROM [Follow_Up]"/>
  </connection>
  <connection id="2" xr16:uid="{00000000-0015-0000-FFFF-FFFF01000000}" keepAlive="1" name="Consulta - Processos_de_Fabricação" description="Conexão com a consulta 'Processos_de_Fabricação' na pasta de trabalho." type="5" refreshedVersion="0" background="1">
    <dbPr connection="Provider=Microsoft.Mashup.OleDb.1;Data Source=$Workbook$;Location=Processos_de_Fabricação" command="SELECT * FROM [Processos_de_Fabricação]"/>
  </connection>
  <connection id="3" xr16:uid="{00000000-0015-0000-FFFF-FFFF02000000}" keepAlive="1" name="Consulta - Tratamento_Magvatech" description="Conexão com a consulta 'Tratamento_Magvatech' na pasta de trabalho." type="5" refreshedVersion="0" background="1">
    <dbPr connection="Provider=Microsoft.Mashup.OleDb.1;Data Source=$Workbook$;Location=Tratamento_Magvatech" command="SELECT * FROM [Tratamento_Magvatech]"/>
  </connection>
</connections>
</file>

<file path=xl/sharedStrings.xml><?xml version="1.0" encoding="utf-8"?>
<sst xmlns="http://schemas.openxmlformats.org/spreadsheetml/2006/main" count="428" uniqueCount="150">
  <si>
    <t>PV</t>
  </si>
  <si>
    <t>CLIENTE</t>
  </si>
  <si>
    <t>CÓDIGO</t>
  </si>
  <si>
    <t>DATA DE ENTREGA</t>
  </si>
  <si>
    <t>QUANTIDADE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</si>
  <si>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</si>
  <si>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</si>
  <si>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</si>
  <si>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</si>
  <si>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</si>
  <si>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</si>
  <si>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</si>
  <si>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</si>
  <si>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</si>
  <si>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</si>
  <si>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</si>
  <si>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</si>
  <si>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</si>
  <si>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</si>
  <si>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</si>
  <si>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</si>
  <si>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</si>
  <si>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</si>
  <si>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</si>
  <si>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</si>
  <si>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GE - RBH</t>
  </si>
  <si>
    <t>HVHV311992-07</t>
  </si>
  <si>
    <t>HVHV311992-06</t>
  </si>
  <si>
    <t>WEG ITAJAÍ</t>
  </si>
  <si>
    <t>13201385</t>
  </si>
  <si>
    <t>GE - RMG</t>
  </si>
  <si>
    <t>HVJZ401565-30</t>
  </si>
  <si>
    <t>17800490</t>
  </si>
  <si>
    <t>14085079</t>
  </si>
  <si>
    <t>HVJZ401565-28</t>
  </si>
  <si>
    <t>13200293</t>
  </si>
  <si>
    <t>14095131</t>
  </si>
  <si>
    <t>14084370</t>
  </si>
  <si>
    <t>14496774</t>
  </si>
  <si>
    <t>HVJY057590.0009</t>
  </si>
  <si>
    <t>HVHV307986-01</t>
  </si>
  <si>
    <t>HVHV307987-01</t>
  </si>
  <si>
    <t>15982393</t>
  </si>
  <si>
    <t>15970137</t>
  </si>
  <si>
    <t>14023910</t>
  </si>
  <si>
    <t>15449299</t>
  </si>
  <si>
    <t>15545082</t>
  </si>
  <si>
    <t>HVHV307987-04</t>
  </si>
  <si>
    <t>HVHV307987-13</t>
  </si>
  <si>
    <t>15545079</t>
  </si>
  <si>
    <t>HVHV307986-04</t>
  </si>
  <si>
    <t>13833429</t>
  </si>
  <si>
    <t>HVHV307986-03</t>
  </si>
  <si>
    <t>HVHV307986-02</t>
  </si>
  <si>
    <t>11893661</t>
  </si>
  <si>
    <t>HVHV311169-51</t>
  </si>
  <si>
    <t>14346324</t>
  </si>
  <si>
    <t>HVHV307986-09</t>
  </si>
  <si>
    <t>15967961</t>
  </si>
  <si>
    <t>HVJZ401099-34</t>
  </si>
  <si>
    <t>14140591</t>
  </si>
  <si>
    <t>14892441</t>
  </si>
  <si>
    <t>14346414</t>
  </si>
  <si>
    <t>TESSIN</t>
  </si>
  <si>
    <t>ES050000000156</t>
  </si>
  <si>
    <t>17797436</t>
  </si>
  <si>
    <t>HVHV400308-02</t>
  </si>
  <si>
    <t>ES050000000156-DIR</t>
  </si>
  <si>
    <t>GE - BAT</t>
  </si>
  <si>
    <t>HKHK300598-12</t>
  </si>
  <si>
    <t>HVHV309210-01</t>
  </si>
  <si>
    <t>14164721</t>
  </si>
  <si>
    <t>12864933</t>
  </si>
  <si>
    <t>13201535</t>
  </si>
  <si>
    <t>14563925</t>
  </si>
  <si>
    <t>14153893</t>
  </si>
  <si>
    <t>14504560</t>
  </si>
  <si>
    <t>15967965</t>
  </si>
  <si>
    <t>13545784</t>
  </si>
  <si>
    <t>11521021</t>
  </si>
  <si>
    <t>14563966</t>
  </si>
  <si>
    <t>15971930</t>
  </si>
  <si>
    <t>HVCK-000282-02</t>
  </si>
  <si>
    <t>HVHV307164-01</t>
  </si>
  <si>
    <t>HVHV307164-02</t>
  </si>
  <si>
    <t>11467111</t>
  </si>
  <si>
    <t>11510278</t>
  </si>
  <si>
    <t>15494649</t>
  </si>
  <si>
    <t>11468826</t>
  </si>
  <si>
    <t>HVRML-W-064709_1</t>
  </si>
  <si>
    <t>14060692</t>
  </si>
  <si>
    <t>11468775</t>
  </si>
  <si>
    <t>13832165</t>
  </si>
  <si>
    <t>13202650</t>
  </si>
  <si>
    <t>16727617</t>
  </si>
  <si>
    <t>15972619</t>
  </si>
  <si>
    <t>15972626</t>
  </si>
  <si>
    <t>14624464</t>
  </si>
  <si>
    <t>15972104</t>
  </si>
  <si>
    <t>13993039</t>
  </si>
  <si>
    <t>13991818</t>
  </si>
  <si>
    <t>12421834</t>
  </si>
  <si>
    <t>HVCK-000282-01</t>
  </si>
  <si>
    <t>14627922</t>
  </si>
  <si>
    <t>HVHV400252-01</t>
  </si>
  <si>
    <t>HVHV308716-01</t>
  </si>
  <si>
    <t>13279123</t>
  </si>
  <si>
    <t>11469602</t>
  </si>
  <si>
    <t>13991819</t>
  </si>
  <si>
    <t>11468114</t>
  </si>
  <si>
    <t>15975246</t>
  </si>
  <si>
    <t>15481651</t>
  </si>
  <si>
    <t>GE - LT</t>
  </si>
  <si>
    <t>HVHV309125-06</t>
  </si>
  <si>
    <t>HVHV309125-03</t>
  </si>
  <si>
    <t>13319535</t>
  </si>
  <si>
    <t>12420856</t>
  </si>
  <si>
    <t>12420855</t>
  </si>
  <si>
    <t>15976244</t>
  </si>
  <si>
    <t>12406511</t>
  </si>
  <si>
    <t>13588930</t>
  </si>
  <si>
    <t>14494848</t>
  </si>
  <si>
    <t>14354620</t>
  </si>
  <si>
    <t>HVHV400318-01</t>
  </si>
  <si>
    <t>HVHV303895-01</t>
  </si>
  <si>
    <t>16110881</t>
  </si>
  <si>
    <t>HVJY057589.0011</t>
  </si>
  <si>
    <t>14303598</t>
  </si>
  <si>
    <t>HIHI300022-01</t>
  </si>
  <si>
    <t>16406069</t>
  </si>
  <si>
    <t>MAGVATECH</t>
  </si>
  <si>
    <t>B13FW811112</t>
  </si>
  <si>
    <t>15972293</t>
  </si>
  <si>
    <t>15973874</t>
  </si>
  <si>
    <t>14613011</t>
  </si>
  <si>
    <t>13829680</t>
  </si>
  <si>
    <t>13592346</t>
  </si>
  <si>
    <t>14035990</t>
  </si>
  <si>
    <t>13828817</t>
  </si>
  <si>
    <t>13991667</t>
  </si>
  <si>
    <t>12406391</t>
  </si>
  <si>
    <t>14157790</t>
  </si>
  <si>
    <t>HVHV308740-02</t>
  </si>
  <si>
    <t>HVHA20605891-01</t>
  </si>
  <si>
    <t>HVHV308754-02</t>
  </si>
  <si>
    <t>15976733</t>
  </si>
  <si>
    <t>14164610</t>
  </si>
  <si>
    <t>14160787</t>
  </si>
  <si>
    <t>B13FW711112</t>
  </si>
  <si>
    <t>HV360212-0001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</si>
</sst>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3%20-%20OR&#199;AMENTO%20ELOHIM\OR&#199;AMENTO%20ELOHIM\Or&#231;amentos%202026\WEG\OR&#199;AMENTO%20%20ELOHIM%201492%20-%2007042026%20%20-%208%20MEs%20%20-%20EDSON%20PEIXER\PC-ORC1492\13842644%20-%20100046424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3%20-%20OR&#199;AMENTO%20ELOHIM\OR&#199;AMENTO%20ELOHIM\Or&#231;amentos%202025\WEG\OR&#199;AMENTO%20ELOHIM%201178%20-%2001072025%20%20-%204%20MEs%20%20-%20EDSON%20PEIXER\PC-ORC1178\14892502%20-%201000659178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PENDENCIAS\GE\CONFERIR%20CAROL\2026\Pedido%20-%204202137742\HV360212-0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000-000000000000}" autoFormatId="0" applyNumberFormats="0" applyBorderFormats="0" applyFontFormats="1" applyPatternFormats="1" applyAlignmentFormats="0" applyWidthHeightFormats="0">
  <queryTableRefresh preserveSortFilterLayout="0" nextId="27">
    <queryTableFields count="25">
      <queryTableField id="1" name="PV" tableColumnId="51"/>
      <queryTableField id="2" name="CLIENTE" tableColumnId="52"/>
      <queryTableField id="3" name="CÓDIGO" tableColumnId="53"/>
      <queryTableField id="4" name="DATA DE ENTREGA" tableColumnId="54"/>
      <queryTableField id="5" name="QUANTIDADE" tableColumnId="55"/>
      <queryTableField id="6" name="CORTE - SERRA" tableColumnId="56"/>
      <queryTableField id="7" name="CORTE-PLASMA" tableColumnId="57"/>
      <queryTableField id="8" name="CORTE-LASER" tableColumnId="58"/>
      <queryTableField id="9" name="CORTE-GUILHOTINA" tableColumnId="59"/>
      <queryTableField id="10" name="TORNO CONVENCIONAL" tableColumnId="60"/>
      <queryTableField id="11" name="TORNO CNC" tableColumnId="61"/>
      <queryTableField id="12" name="CENTRO DE USINAGEM" tableColumnId="62"/>
      <queryTableField id="13" name="FRESADORAS" tableColumnId="63"/>
      <queryTableField id="14" name="PRENSA (AMASSAMENTO)" tableColumnId="64"/>
      <queryTableField id="15" name="CALANDRA" tableColumnId="65"/>
      <queryTableField id="16" name="DOBRADEIRA" tableColumnId="66"/>
      <queryTableField id="17" name="ROSQUEADEIRA" tableColumnId="67"/>
      <queryTableField id="18" name="METALEIRA" tableColumnId="68"/>
      <queryTableField id="19" name="FURADEIRA DE BANCADA" tableColumnId="69"/>
      <queryTableField id="20" name="SOLDAGEM" tableColumnId="70"/>
      <queryTableField id="21" name="ACABAMENTO" tableColumnId="71"/>
      <queryTableField id="22" name="JATEAMENTO" tableColumnId="72"/>
      <queryTableField id="23" name="PINTURA" tableColumnId="73"/>
      <queryTableField id="24" name="MONTAGEM" tableColumnId="74"/>
      <queryTableField id="25" name="DIVERSOS" tableColumnId="7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llow_Up" displayName="Follow_Up" ref="A1:Y208" tableType="queryTable" totalsRowShown="0" headerRowDxfId="1">
  <autoFilter ref="A1:Y208" xr:uid="{00000000-0009-0000-0100-000001000000}"/>
  <sortState xmlns:xlrd2="http://schemas.microsoft.com/office/spreadsheetml/2017/richdata2" ref="A2:Y208">
    <sortCondition ref="D1:D208"/>
  </sortState>
  <tableColumns count="25">
    <tableColumn id="51" xr3:uid="{00000000-0010-0000-0000-000033000000}" uniqueName="51" name="PV" queryTableFieldId="1"/>
    <tableColumn id="52" xr3:uid="{00000000-0010-0000-0000-000034000000}" uniqueName="52" name="CLIENTE" queryTableFieldId="2"/>
    <tableColumn id="53" xr3:uid="{00000000-0010-0000-0000-000035000000}" uniqueName="53" name="CÓDIGO" queryTableFieldId="3"/>
    <tableColumn id="54" xr3:uid="{00000000-0010-0000-0000-000036000000}" uniqueName="54" name="DATA DE ENTREGA" queryTableFieldId="4" dataDxfId="0"/>
    <tableColumn id="55" xr3:uid="{00000000-0010-0000-0000-000037000000}" uniqueName="55" name="QUANTIDADE" queryTableFieldId="5"/>
    <tableColumn id="56" xr3:uid="{00000000-0010-0000-0000-000038000000}" uniqueName="56" name="CORTE - SERRA" queryTableFieldId="6"/>
    <tableColumn id="57" xr3:uid="{00000000-0010-0000-0000-000039000000}" uniqueName="57" name="CORTE-PLASMA" queryTableFieldId="7"/>
    <tableColumn id="58" xr3:uid="{00000000-0010-0000-0000-00003A000000}" uniqueName="58" name="CORTE-LASER" queryTableFieldId="8"/>
    <tableColumn id="59" xr3:uid="{00000000-0010-0000-0000-00003B000000}" uniqueName="59" name="CORTE-GUILHOTINA" queryTableFieldId="9"/>
    <tableColumn id="60" xr3:uid="{00000000-0010-0000-0000-00003C000000}" uniqueName="60" name="TORNO CONVENCIONAL" queryTableFieldId="10"/>
    <tableColumn id="61" xr3:uid="{00000000-0010-0000-0000-00003D000000}" uniqueName="61" name="TORNO CNC" queryTableFieldId="11"/>
    <tableColumn id="62" xr3:uid="{00000000-0010-0000-0000-00003E000000}" uniqueName="62" name="CENTRO DE USINAGEM" queryTableFieldId="12"/>
    <tableColumn id="63" xr3:uid="{00000000-0010-0000-0000-00003F000000}" uniqueName="63" name="FRESADORAS" queryTableFieldId="13"/>
    <tableColumn id="64" xr3:uid="{00000000-0010-0000-0000-000040000000}" uniqueName="64" name="PRENSA (AMASSAMENTO)" queryTableFieldId="14"/>
    <tableColumn id="65" xr3:uid="{00000000-0010-0000-0000-000041000000}" uniqueName="65" name="CALANDRA" queryTableFieldId="15"/>
    <tableColumn id="66" xr3:uid="{00000000-0010-0000-0000-000042000000}" uniqueName="66" name="DOBRADEIRA" queryTableFieldId="16"/>
    <tableColumn id="67" xr3:uid="{00000000-0010-0000-0000-000043000000}" uniqueName="67" name="ROSQUEADEIRA" queryTableFieldId="17"/>
    <tableColumn id="68" xr3:uid="{00000000-0010-0000-0000-000044000000}" uniqueName="68" name="METALEIRA" queryTableFieldId="18"/>
    <tableColumn id="69" xr3:uid="{00000000-0010-0000-0000-000045000000}" uniqueName="69" name="FURADEIRA DE BANCADA" queryTableFieldId="19"/>
    <tableColumn id="70" xr3:uid="{00000000-0010-0000-0000-000046000000}" uniqueName="70" name="SOLDAGEM" queryTableFieldId="20"/>
    <tableColumn id="71" xr3:uid="{00000000-0010-0000-0000-000047000000}" uniqueName="71" name="ACABAMENTO" queryTableFieldId="21"/>
    <tableColumn id="72" xr3:uid="{00000000-0010-0000-0000-000048000000}" uniqueName="72" name="JATEAMENTO" queryTableFieldId="22"/>
    <tableColumn id="73" xr3:uid="{00000000-0010-0000-0000-000049000000}" uniqueName="73" name="PINTURA" queryTableFieldId="23"/>
    <tableColumn id="74" xr3:uid="{00000000-0010-0000-0000-00004A000000}" uniqueName="74" name="MONTAGEM" queryTableFieldId="24"/>
    <tableColumn id="75" xr3:uid="{00000000-0010-0000-0000-00004B000000}" uniqueName="75" name="DIVERSOS" queryTableFieldId="25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8"/>
  <sheetViews>
    <sheetView tabSelected="1" workbookViewId="0">
      <selection activeCell="D18" sqref="D18"/>
    </sheetView>
  </sheetViews>
  <sheetFormatPr defaultRowHeight="14.4" x14ac:dyDescent="0.3"/>
  <cols>
    <col min="1" max="1" width="10.109375" customWidth="1"/>
    <col min="2" max="2" width="15.21875" customWidth="1"/>
    <col min="3" max="3" width="19" bestFit="1" customWidth="1"/>
    <col min="4" max="4" width="19.88671875" bestFit="1" customWidth="1"/>
    <col min="5" max="5" width="15.44140625" bestFit="1" customWidth="1"/>
    <col min="6" max="6" width="16.33203125" bestFit="1" customWidth="1"/>
    <col min="7" max="7" width="17.33203125" bestFit="1" customWidth="1"/>
    <col min="8" max="8" width="15" bestFit="1" customWidth="1"/>
    <col min="9" max="9" width="21.33203125" bestFit="1" customWidth="1"/>
    <col min="10" max="10" width="25" bestFit="1" customWidth="1"/>
    <col min="11" max="11" width="13.88671875" bestFit="1" customWidth="1"/>
    <col min="12" max="12" width="24" bestFit="1" customWidth="1"/>
    <col min="13" max="13" width="14.88671875" bestFit="1" customWidth="1"/>
    <col min="14" max="14" width="27" bestFit="1" customWidth="1"/>
    <col min="15" max="15" width="13" bestFit="1" customWidth="1"/>
    <col min="16" max="16" width="14.88671875" bestFit="1" customWidth="1"/>
    <col min="17" max="17" width="17.44140625" bestFit="1" customWidth="1"/>
    <col min="18" max="18" width="13.33203125" bestFit="1" customWidth="1"/>
    <col min="19" max="19" width="25.88671875" bestFit="1" customWidth="1"/>
    <col min="20" max="20" width="13.44140625" bestFit="1" customWidth="1"/>
    <col min="21" max="21" width="16.33203125" bestFit="1" customWidth="1"/>
    <col min="22" max="22" width="15.44140625" bestFit="1" customWidth="1"/>
    <col min="23" max="23" width="11.33203125" bestFit="1" customWidth="1"/>
    <col min="24" max="24" width="14.5546875" bestFit="1" customWidth="1"/>
    <col min="25" max="25" width="12" bestFit="1" customWidth="1"/>
  </cols>
  <sheetData>
    <row r="1" spans="1:25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>
        <v>6828</v>
      </c>
      <c r="B2" t="s">
        <v>30</v>
      </c>
      <c r="C2" t="s">
        <v>142</v>
      </c>
      <c r="D2" s="1">
        <v>46140</v>
      </c>
      <c r="E2">
        <v>24</v>
      </c>
      <c r="F2">
        <v>0</v>
      </c>
      <c r="G2">
        <v>0</v>
      </c>
      <c r="H2">
        <v>10</v>
      </c>
      <c r="I2">
        <v>0</v>
      </c>
      <c r="J2">
        <v>30</v>
      </c>
      <c r="K2">
        <v>0</v>
      </c>
      <c r="L2">
        <v>0</v>
      </c>
      <c r="M2">
        <v>5</v>
      </c>
      <c r="N2">
        <v>0</v>
      </c>
      <c r="O2">
        <v>0</v>
      </c>
      <c r="P2">
        <v>0</v>
      </c>
      <c r="Q2">
        <v>5</v>
      </c>
      <c r="R2">
        <v>0</v>
      </c>
      <c r="S2">
        <v>0</v>
      </c>
      <c r="T2">
        <v>0</v>
      </c>
      <c r="U2">
        <v>15</v>
      </c>
      <c r="V2">
        <v>0</v>
      </c>
      <c r="W2">
        <v>0</v>
      </c>
      <c r="X2">
        <v>0</v>
      </c>
      <c r="Y2">
        <v>0</v>
      </c>
    </row>
    <row r="3" spans="1:25" x14ac:dyDescent="0.3">
      <c r="A3">
        <v>6799</v>
      </c>
      <c r="B3" t="s">
        <v>30</v>
      </c>
      <c r="C3" t="s">
        <v>59</v>
      </c>
      <c r="D3" s="1">
        <v>46140</v>
      </c>
      <c r="E3">
        <v>3</v>
      </c>
      <c r="F3">
        <v>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10</v>
      </c>
      <c r="N3">
        <v>0</v>
      </c>
      <c r="O3">
        <v>5</v>
      </c>
      <c r="P3">
        <v>0</v>
      </c>
      <c r="Q3">
        <v>0</v>
      </c>
      <c r="R3">
        <v>0</v>
      </c>
      <c r="S3">
        <v>0</v>
      </c>
      <c r="T3">
        <v>20</v>
      </c>
      <c r="U3">
        <v>10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6839</v>
      </c>
      <c r="B4" t="s">
        <v>30</v>
      </c>
      <c r="C4" t="s">
        <v>70</v>
      </c>
      <c r="D4" s="1">
        <v>46140</v>
      </c>
      <c r="E4">
        <v>3</v>
      </c>
      <c r="F4">
        <v>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10</v>
      </c>
      <c r="N4">
        <v>0</v>
      </c>
      <c r="O4">
        <v>0</v>
      </c>
      <c r="P4">
        <v>0</v>
      </c>
      <c r="Q4">
        <v>6</v>
      </c>
      <c r="R4">
        <v>0</v>
      </c>
      <c r="S4">
        <v>0</v>
      </c>
      <c r="T4">
        <v>10</v>
      </c>
      <c r="U4">
        <v>10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6941</v>
      </c>
      <c r="B5" t="s">
        <v>30</v>
      </c>
      <c r="C5" t="s">
        <v>39</v>
      </c>
      <c r="D5" s="1">
        <v>46140</v>
      </c>
      <c r="E5">
        <v>1</v>
      </c>
      <c r="F5">
        <v>10</v>
      </c>
      <c r="G5">
        <v>0</v>
      </c>
      <c r="H5">
        <v>0</v>
      </c>
      <c r="I5">
        <v>0</v>
      </c>
      <c r="J5">
        <v>30</v>
      </c>
      <c r="K5">
        <v>0</v>
      </c>
      <c r="L5">
        <v>0</v>
      </c>
      <c r="M5">
        <v>60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25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6766</v>
      </c>
      <c r="B6" t="s">
        <v>30</v>
      </c>
      <c r="C6" t="s">
        <v>57</v>
      </c>
      <c r="D6" s="1">
        <v>46140</v>
      </c>
      <c r="E6">
        <v>7</v>
      </c>
      <c r="F6">
        <v>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10</v>
      </c>
      <c r="N6">
        <v>0</v>
      </c>
      <c r="O6">
        <v>0</v>
      </c>
      <c r="P6">
        <v>5</v>
      </c>
      <c r="Q6">
        <v>6</v>
      </c>
      <c r="R6">
        <v>0</v>
      </c>
      <c r="S6">
        <v>0</v>
      </c>
      <c r="T6">
        <v>10</v>
      </c>
      <c r="U6">
        <v>5</v>
      </c>
      <c r="V6">
        <v>0</v>
      </c>
      <c r="W6">
        <v>0</v>
      </c>
      <c r="X6">
        <v>0</v>
      </c>
      <c r="Y6">
        <v>0</v>
      </c>
    </row>
    <row r="7" spans="1:25" x14ac:dyDescent="0.3">
      <c r="A7">
        <v>6954</v>
      </c>
      <c r="B7" t="s">
        <v>30</v>
      </c>
      <c r="C7" t="s">
        <v>126</v>
      </c>
      <c r="D7" s="1">
        <v>46140</v>
      </c>
      <c r="E7">
        <v>32</v>
      </c>
      <c r="F7">
        <v>1</v>
      </c>
      <c r="G7">
        <v>0</v>
      </c>
      <c r="H7">
        <v>0</v>
      </c>
      <c r="I7">
        <v>0</v>
      </c>
      <c r="J7">
        <v>0</v>
      </c>
      <c r="K7">
        <v>10</v>
      </c>
      <c r="L7">
        <v>0</v>
      </c>
      <c r="M7">
        <v>0</v>
      </c>
      <c r="N7">
        <v>0</v>
      </c>
      <c r="O7">
        <v>10</v>
      </c>
      <c r="P7">
        <v>0</v>
      </c>
      <c r="Q7">
        <v>0</v>
      </c>
      <c r="R7">
        <v>0</v>
      </c>
      <c r="S7">
        <v>0</v>
      </c>
      <c r="T7">
        <v>0.25</v>
      </c>
      <c r="U7">
        <v>10</v>
      </c>
      <c r="V7">
        <v>0</v>
      </c>
      <c r="W7">
        <v>0</v>
      </c>
      <c r="X7">
        <v>0</v>
      </c>
      <c r="Y7">
        <v>0</v>
      </c>
    </row>
    <row r="8" spans="1:25" x14ac:dyDescent="0.3">
      <c r="A8">
        <v>6885</v>
      </c>
      <c r="B8" t="s">
        <v>30</v>
      </c>
      <c r="C8" t="s">
        <v>128</v>
      </c>
      <c r="D8" s="1">
        <v>46140</v>
      </c>
      <c r="E8">
        <v>50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</row>
    <row r="9" spans="1:25" x14ac:dyDescent="0.3">
      <c r="A9">
        <v>6980</v>
      </c>
      <c r="B9" t="s">
        <v>63</v>
      </c>
      <c r="C9" t="s">
        <v>64</v>
      </c>
      <c r="D9" s="1">
        <v>46142</v>
      </c>
      <c r="E9">
        <v>48</v>
      </c>
      <c r="F9">
        <v>5</v>
      </c>
      <c r="G9">
        <v>0</v>
      </c>
      <c r="H9">
        <v>0</v>
      </c>
      <c r="I9">
        <v>0</v>
      </c>
      <c r="J9">
        <v>0</v>
      </c>
      <c r="K9">
        <v>0</v>
      </c>
      <c r="L9">
        <v>30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15</v>
      </c>
      <c r="V9">
        <v>0</v>
      </c>
      <c r="W9">
        <v>0</v>
      </c>
      <c r="X9">
        <v>0</v>
      </c>
      <c r="Y9">
        <v>0</v>
      </c>
    </row>
    <row r="10" spans="1:25" x14ac:dyDescent="0.3">
      <c r="A10">
        <v>6981</v>
      </c>
      <c r="B10" t="s">
        <v>63</v>
      </c>
      <c r="C10" t="s">
        <v>67</v>
      </c>
      <c r="D10" s="1">
        <v>46142</v>
      </c>
      <c r="E10">
        <v>48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30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15</v>
      </c>
      <c r="V10">
        <v>0</v>
      </c>
      <c r="W10">
        <v>0</v>
      </c>
      <c r="X10">
        <v>0</v>
      </c>
      <c r="Y10">
        <v>0</v>
      </c>
    </row>
    <row r="11" spans="1:25" x14ac:dyDescent="0.3">
      <c r="A11">
        <v>6875</v>
      </c>
      <c r="B11" t="s">
        <v>68</v>
      </c>
      <c r="C11" t="s">
        <v>69</v>
      </c>
      <c r="D11" s="1">
        <v>46146</v>
      </c>
      <c r="E11">
        <v>1</v>
      </c>
      <c r="F11">
        <v>5</v>
      </c>
      <c r="G11">
        <v>0</v>
      </c>
      <c r="H11">
        <v>0</v>
      </c>
      <c r="I11">
        <v>0</v>
      </c>
      <c r="J11">
        <v>30</v>
      </c>
      <c r="K11">
        <v>0</v>
      </c>
      <c r="L11">
        <v>0</v>
      </c>
      <c r="M11">
        <v>15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30</v>
      </c>
      <c r="V11">
        <v>0</v>
      </c>
      <c r="W11">
        <v>0</v>
      </c>
      <c r="X11">
        <v>0</v>
      </c>
      <c r="Y11">
        <v>0</v>
      </c>
    </row>
    <row r="12" spans="1:25" x14ac:dyDescent="0.3">
      <c r="A12">
        <v>6550</v>
      </c>
      <c r="B12" t="s">
        <v>25</v>
      </c>
      <c r="C12" t="s">
        <v>27</v>
      </c>
      <c r="D12" s="1">
        <v>46146</v>
      </c>
      <c r="E12">
        <v>1</v>
      </c>
      <c r="F12">
        <v>400</v>
      </c>
      <c r="G12">
        <v>680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30</v>
      </c>
      <c r="U12">
        <v>240</v>
      </c>
      <c r="V12">
        <v>0</v>
      </c>
      <c r="W12">
        <v>500</v>
      </c>
      <c r="X12">
        <v>0</v>
      </c>
      <c r="Y12">
        <v>0</v>
      </c>
    </row>
    <row r="13" spans="1:25" x14ac:dyDescent="0.3">
      <c r="A13">
        <v>6553</v>
      </c>
      <c r="B13" t="s">
        <v>25</v>
      </c>
      <c r="C13" t="s">
        <v>26</v>
      </c>
      <c r="D13" s="1">
        <v>46146</v>
      </c>
      <c r="E13">
        <v>1</v>
      </c>
      <c r="F13">
        <v>400</v>
      </c>
      <c r="G13">
        <v>680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30</v>
      </c>
      <c r="U13">
        <v>240</v>
      </c>
      <c r="V13">
        <v>0</v>
      </c>
      <c r="W13">
        <v>500</v>
      </c>
      <c r="X13">
        <v>0</v>
      </c>
      <c r="Y13">
        <v>0</v>
      </c>
    </row>
    <row r="14" spans="1:25" x14ac:dyDescent="0.3">
      <c r="A14">
        <v>6831</v>
      </c>
      <c r="B14" t="s">
        <v>30</v>
      </c>
      <c r="C14" t="s">
        <v>34</v>
      </c>
      <c r="D14" s="1">
        <v>46146</v>
      </c>
      <c r="E14">
        <v>9</v>
      </c>
      <c r="F14">
        <v>15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15</v>
      </c>
      <c r="U14">
        <v>10</v>
      </c>
      <c r="V14">
        <v>0</v>
      </c>
      <c r="W14">
        <v>0</v>
      </c>
      <c r="X14">
        <v>0</v>
      </c>
      <c r="Y14">
        <v>0</v>
      </c>
    </row>
    <row r="15" spans="1:25" x14ac:dyDescent="0.3">
      <c r="A15">
        <v>7003</v>
      </c>
      <c r="B15" t="s">
        <v>28</v>
      </c>
      <c r="C15" t="s">
        <v>29</v>
      </c>
      <c r="D15" s="1">
        <v>46146</v>
      </c>
      <c r="E15">
        <v>15</v>
      </c>
      <c r="F15">
        <v>45</v>
      </c>
      <c r="G15">
        <v>0</v>
      </c>
      <c r="H15">
        <v>0</v>
      </c>
      <c r="I15">
        <v>0</v>
      </c>
      <c r="J15">
        <v>80</v>
      </c>
      <c r="K15">
        <v>0</v>
      </c>
      <c r="L15">
        <v>90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60</v>
      </c>
      <c r="U15">
        <v>30</v>
      </c>
      <c r="V15">
        <v>0</v>
      </c>
      <c r="W15">
        <v>0</v>
      </c>
      <c r="X15">
        <v>30</v>
      </c>
      <c r="Y15">
        <v>0</v>
      </c>
    </row>
    <row r="16" spans="1:25" x14ac:dyDescent="0.3">
      <c r="A16">
        <v>6937</v>
      </c>
      <c r="B16" t="s">
        <v>28</v>
      </c>
      <c r="C16" t="s">
        <v>32</v>
      </c>
      <c r="D16" s="1">
        <v>46146</v>
      </c>
      <c r="E16">
        <v>15</v>
      </c>
      <c r="F16">
        <v>15</v>
      </c>
      <c r="G16">
        <v>0</v>
      </c>
      <c r="H16">
        <v>0</v>
      </c>
      <c r="I16">
        <v>0</v>
      </c>
      <c r="J16">
        <v>0</v>
      </c>
      <c r="K16">
        <v>0</v>
      </c>
      <c r="L16">
        <v>80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1.2</v>
      </c>
      <c r="U16">
        <v>30</v>
      </c>
      <c r="V16">
        <v>0</v>
      </c>
      <c r="W16">
        <v>0</v>
      </c>
      <c r="X16">
        <v>0</v>
      </c>
      <c r="Y16">
        <v>0</v>
      </c>
    </row>
    <row r="17" spans="1:25" x14ac:dyDescent="0.3">
      <c r="A17">
        <v>6928</v>
      </c>
      <c r="B17" t="s">
        <v>28</v>
      </c>
      <c r="C17" t="s">
        <v>33</v>
      </c>
      <c r="D17" s="1">
        <v>46146</v>
      </c>
      <c r="E17">
        <v>6</v>
      </c>
      <c r="F17">
        <v>15</v>
      </c>
      <c r="G17">
        <v>0</v>
      </c>
      <c r="H17">
        <v>0</v>
      </c>
      <c r="I17">
        <v>0</v>
      </c>
      <c r="J17">
        <v>0</v>
      </c>
      <c r="K17">
        <v>0</v>
      </c>
      <c r="L17">
        <v>15</v>
      </c>
      <c r="M17">
        <v>60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70</v>
      </c>
      <c r="U17">
        <v>20</v>
      </c>
      <c r="V17">
        <v>0</v>
      </c>
      <c r="W17">
        <v>0</v>
      </c>
      <c r="X17">
        <v>0</v>
      </c>
      <c r="Y17">
        <v>0</v>
      </c>
    </row>
    <row r="18" spans="1:25" x14ac:dyDescent="0.3">
      <c r="A18">
        <v>7004</v>
      </c>
      <c r="B18" t="s">
        <v>28</v>
      </c>
      <c r="C18" t="s">
        <v>35</v>
      </c>
      <c r="D18" s="1">
        <v>46146</v>
      </c>
      <c r="E18">
        <v>12</v>
      </c>
      <c r="F18">
        <v>15</v>
      </c>
      <c r="G18">
        <v>0</v>
      </c>
      <c r="H18">
        <v>0</v>
      </c>
      <c r="I18">
        <v>0</v>
      </c>
      <c r="J18">
        <v>10</v>
      </c>
      <c r="K18">
        <v>0</v>
      </c>
      <c r="L18">
        <v>75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75</v>
      </c>
      <c r="U18">
        <v>45</v>
      </c>
      <c r="V18">
        <v>0</v>
      </c>
      <c r="W18">
        <v>0</v>
      </c>
      <c r="X18">
        <v>15</v>
      </c>
      <c r="Y18">
        <v>0</v>
      </c>
    </row>
    <row r="19" spans="1:25" x14ac:dyDescent="0.3">
      <c r="A19">
        <v>6971</v>
      </c>
      <c r="B19" t="s">
        <v>28</v>
      </c>
      <c r="C19" t="s">
        <v>36</v>
      </c>
      <c r="D19" s="1">
        <v>46146</v>
      </c>
      <c r="E19">
        <v>6</v>
      </c>
      <c r="F19">
        <v>15</v>
      </c>
      <c r="G19">
        <v>0</v>
      </c>
      <c r="H19">
        <v>0</v>
      </c>
      <c r="I19">
        <v>0</v>
      </c>
      <c r="J19">
        <v>15</v>
      </c>
      <c r="K19">
        <v>0</v>
      </c>
      <c r="L19">
        <v>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35</v>
      </c>
      <c r="U19">
        <v>15</v>
      </c>
      <c r="V19">
        <v>0</v>
      </c>
      <c r="W19">
        <v>0</v>
      </c>
      <c r="X19">
        <v>0</v>
      </c>
      <c r="Y19">
        <v>0</v>
      </c>
    </row>
    <row r="20" spans="1:25" x14ac:dyDescent="0.3">
      <c r="A20">
        <v>6972</v>
      </c>
      <c r="B20" t="s">
        <v>28</v>
      </c>
      <c r="C20" t="s">
        <v>37</v>
      </c>
      <c r="D20" s="1">
        <v>46146</v>
      </c>
      <c r="E20">
        <v>6</v>
      </c>
      <c r="F20">
        <v>15</v>
      </c>
      <c r="G20">
        <v>0</v>
      </c>
      <c r="H20">
        <v>0</v>
      </c>
      <c r="I20">
        <v>0</v>
      </c>
      <c r="J20">
        <v>0</v>
      </c>
      <c r="K20">
        <v>0</v>
      </c>
      <c r="L20">
        <v>45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40</v>
      </c>
      <c r="U20">
        <v>15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6948</v>
      </c>
      <c r="B21" t="s">
        <v>28</v>
      </c>
      <c r="C21" t="s">
        <v>38</v>
      </c>
      <c r="D21" s="1">
        <v>46146</v>
      </c>
      <c r="E21">
        <v>15</v>
      </c>
      <c r="F21">
        <v>15</v>
      </c>
      <c r="G21">
        <v>0</v>
      </c>
      <c r="H21">
        <v>0</v>
      </c>
      <c r="I21">
        <v>0</v>
      </c>
      <c r="J21">
        <v>30</v>
      </c>
      <c r="K21">
        <v>0</v>
      </c>
      <c r="L21">
        <v>60</v>
      </c>
      <c r="M21">
        <v>60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150</v>
      </c>
      <c r="U21">
        <v>60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6973</v>
      </c>
      <c r="B22" t="s">
        <v>28</v>
      </c>
      <c r="C22" t="s">
        <v>42</v>
      </c>
      <c r="D22" s="1">
        <v>46146</v>
      </c>
      <c r="E22">
        <v>9</v>
      </c>
      <c r="F22">
        <v>10</v>
      </c>
      <c r="G22">
        <v>0</v>
      </c>
      <c r="H22">
        <v>0</v>
      </c>
      <c r="I22">
        <v>0</v>
      </c>
      <c r="J22">
        <v>0</v>
      </c>
      <c r="K22">
        <v>0</v>
      </c>
      <c r="L22">
        <v>30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35</v>
      </c>
      <c r="U22">
        <v>10</v>
      </c>
      <c r="V22">
        <v>0</v>
      </c>
      <c r="W22">
        <v>0</v>
      </c>
      <c r="X22">
        <v>0</v>
      </c>
      <c r="Y22">
        <v>0</v>
      </c>
    </row>
    <row r="23" spans="1:25" x14ac:dyDescent="0.3">
      <c r="A23">
        <v>6930</v>
      </c>
      <c r="B23" t="s">
        <v>28</v>
      </c>
      <c r="C23" t="s">
        <v>43</v>
      </c>
      <c r="D23" s="1">
        <v>46146</v>
      </c>
      <c r="E23">
        <v>21</v>
      </c>
      <c r="F23">
        <v>10</v>
      </c>
      <c r="G23">
        <v>0</v>
      </c>
      <c r="H23">
        <v>0</v>
      </c>
      <c r="I23">
        <v>0</v>
      </c>
      <c r="J23">
        <v>0</v>
      </c>
      <c r="K23">
        <v>0</v>
      </c>
      <c r="L23">
        <v>60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60</v>
      </c>
      <c r="U23">
        <v>20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6988</v>
      </c>
      <c r="B24" t="s">
        <v>28</v>
      </c>
      <c r="C24" t="s">
        <v>45</v>
      </c>
      <c r="D24" s="1">
        <v>46146</v>
      </c>
      <c r="E24">
        <v>30</v>
      </c>
      <c r="F24">
        <v>10</v>
      </c>
      <c r="G24">
        <v>0</v>
      </c>
      <c r="H24">
        <v>0</v>
      </c>
      <c r="I24">
        <v>0</v>
      </c>
      <c r="J24">
        <v>120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15</v>
      </c>
      <c r="V24">
        <v>0</v>
      </c>
      <c r="W24">
        <v>0</v>
      </c>
      <c r="X24">
        <v>0</v>
      </c>
      <c r="Y24">
        <v>0</v>
      </c>
    </row>
    <row r="25" spans="1:25" x14ac:dyDescent="0.3">
      <c r="A25">
        <v>6974</v>
      </c>
      <c r="B25" t="s">
        <v>28</v>
      </c>
      <c r="C25" t="s">
        <v>46</v>
      </c>
      <c r="D25" s="1">
        <v>46146</v>
      </c>
      <c r="E25">
        <v>9</v>
      </c>
      <c r="F25">
        <v>10</v>
      </c>
      <c r="G25">
        <v>0</v>
      </c>
      <c r="H25">
        <v>0</v>
      </c>
      <c r="I25">
        <v>0</v>
      </c>
      <c r="J25">
        <v>0</v>
      </c>
      <c r="K25">
        <v>0</v>
      </c>
      <c r="L25">
        <v>30</v>
      </c>
      <c r="M25">
        <v>0</v>
      </c>
      <c r="N25">
        <v>0</v>
      </c>
      <c r="O25">
        <v>0</v>
      </c>
      <c r="P25">
        <v>0</v>
      </c>
      <c r="Q25">
        <v>5</v>
      </c>
      <c r="R25">
        <v>0</v>
      </c>
      <c r="S25">
        <v>0</v>
      </c>
      <c r="T25">
        <v>20</v>
      </c>
      <c r="U25">
        <v>10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6975</v>
      </c>
      <c r="B26" t="s">
        <v>28</v>
      </c>
      <c r="C26" t="s">
        <v>49</v>
      </c>
      <c r="D26" s="1">
        <v>46146</v>
      </c>
      <c r="E26">
        <v>9</v>
      </c>
      <c r="F26">
        <v>10</v>
      </c>
      <c r="G26">
        <v>0</v>
      </c>
      <c r="H26">
        <v>0</v>
      </c>
      <c r="I26">
        <v>0</v>
      </c>
      <c r="J26">
        <v>0</v>
      </c>
      <c r="K26">
        <v>0</v>
      </c>
      <c r="L26">
        <v>30</v>
      </c>
      <c r="M26">
        <v>0</v>
      </c>
      <c r="N26">
        <v>0</v>
      </c>
      <c r="O26">
        <v>0</v>
      </c>
      <c r="P26">
        <v>0</v>
      </c>
      <c r="Q26">
        <v>5</v>
      </c>
      <c r="R26">
        <v>0</v>
      </c>
      <c r="S26">
        <v>0</v>
      </c>
      <c r="T26">
        <v>20</v>
      </c>
      <c r="U26">
        <v>10</v>
      </c>
      <c r="V26">
        <v>0</v>
      </c>
      <c r="W26">
        <v>0</v>
      </c>
      <c r="X26">
        <v>0</v>
      </c>
      <c r="Y26">
        <v>0</v>
      </c>
    </row>
    <row r="27" spans="1:25" x14ac:dyDescent="0.3">
      <c r="A27">
        <v>6940</v>
      </c>
      <c r="B27" t="s">
        <v>28</v>
      </c>
      <c r="C27" t="s">
        <v>51</v>
      </c>
      <c r="D27" s="1">
        <v>46146</v>
      </c>
      <c r="E27">
        <v>18</v>
      </c>
      <c r="F27">
        <v>10</v>
      </c>
      <c r="G27">
        <v>0</v>
      </c>
      <c r="H27">
        <v>0</v>
      </c>
      <c r="I27">
        <v>0</v>
      </c>
      <c r="J27">
        <v>0</v>
      </c>
      <c r="K27">
        <v>0</v>
      </c>
      <c r="L27">
        <v>60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60</v>
      </c>
      <c r="U27">
        <v>20</v>
      </c>
      <c r="V27">
        <v>0</v>
      </c>
      <c r="W27">
        <v>0</v>
      </c>
      <c r="X27">
        <v>0</v>
      </c>
      <c r="Y27">
        <v>0</v>
      </c>
    </row>
    <row r="28" spans="1:25" x14ac:dyDescent="0.3">
      <c r="A28">
        <v>6939</v>
      </c>
      <c r="B28" t="s">
        <v>28</v>
      </c>
      <c r="C28" t="s">
        <v>54</v>
      </c>
      <c r="D28" s="1">
        <v>46146</v>
      </c>
      <c r="E28">
        <v>72</v>
      </c>
      <c r="F28">
        <v>10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10</v>
      </c>
      <c r="P28">
        <v>0</v>
      </c>
      <c r="Q28">
        <v>0</v>
      </c>
      <c r="R28">
        <v>0</v>
      </c>
      <c r="S28">
        <v>0</v>
      </c>
      <c r="T28">
        <v>10</v>
      </c>
      <c r="U28">
        <v>5</v>
      </c>
      <c r="V28">
        <v>0</v>
      </c>
      <c r="W28">
        <v>0</v>
      </c>
      <c r="X28">
        <v>0</v>
      </c>
      <c r="Y28">
        <v>0</v>
      </c>
    </row>
    <row r="29" spans="1:25" x14ac:dyDescent="0.3">
      <c r="A29">
        <v>6946</v>
      </c>
      <c r="B29" t="s">
        <v>28</v>
      </c>
      <c r="C29" t="s">
        <v>65</v>
      </c>
      <c r="D29" s="1">
        <v>46146</v>
      </c>
      <c r="E29">
        <v>3</v>
      </c>
      <c r="F29">
        <v>5</v>
      </c>
      <c r="G29">
        <v>0</v>
      </c>
      <c r="H29">
        <v>0</v>
      </c>
      <c r="I29">
        <v>0</v>
      </c>
      <c r="J29">
        <v>0</v>
      </c>
      <c r="K29">
        <v>0</v>
      </c>
      <c r="L29">
        <v>50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0.9</v>
      </c>
      <c r="U29">
        <v>30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6955</v>
      </c>
      <c r="B30" t="s">
        <v>30</v>
      </c>
      <c r="C30" t="s">
        <v>66</v>
      </c>
      <c r="D30" s="1">
        <v>46146</v>
      </c>
      <c r="E30">
        <v>10</v>
      </c>
      <c r="F30">
        <v>5</v>
      </c>
      <c r="G30">
        <v>0</v>
      </c>
      <c r="H30">
        <v>0</v>
      </c>
      <c r="I30">
        <v>0</v>
      </c>
      <c r="J30">
        <v>0</v>
      </c>
      <c r="K30">
        <v>0</v>
      </c>
      <c r="L30">
        <v>10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3</v>
      </c>
      <c r="V30">
        <v>0</v>
      </c>
      <c r="W30">
        <v>0</v>
      </c>
      <c r="X30">
        <v>0</v>
      </c>
      <c r="Y30">
        <v>0</v>
      </c>
    </row>
    <row r="31" spans="1:25" x14ac:dyDescent="0.3">
      <c r="A31">
        <v>6970</v>
      </c>
      <c r="B31" t="s">
        <v>28</v>
      </c>
      <c r="C31" t="s">
        <v>74</v>
      </c>
      <c r="D31" s="1">
        <v>46146</v>
      </c>
      <c r="E31">
        <v>3</v>
      </c>
      <c r="F31">
        <v>5</v>
      </c>
      <c r="G31">
        <v>0</v>
      </c>
      <c r="H31">
        <v>0</v>
      </c>
      <c r="I31">
        <v>0</v>
      </c>
      <c r="J31">
        <v>0</v>
      </c>
      <c r="K31">
        <v>0</v>
      </c>
      <c r="L31">
        <v>20</v>
      </c>
      <c r="M31">
        <v>0</v>
      </c>
      <c r="N31">
        <v>0</v>
      </c>
      <c r="O31">
        <v>0</v>
      </c>
      <c r="P31">
        <v>10</v>
      </c>
      <c r="Q31">
        <v>0</v>
      </c>
      <c r="R31">
        <v>0</v>
      </c>
      <c r="S31">
        <v>0</v>
      </c>
      <c r="T31">
        <v>15</v>
      </c>
      <c r="U31">
        <v>10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6938</v>
      </c>
      <c r="B32" t="s">
        <v>28</v>
      </c>
      <c r="C32" t="s">
        <v>76</v>
      </c>
      <c r="D32" s="1">
        <v>46146</v>
      </c>
      <c r="E32">
        <v>15</v>
      </c>
      <c r="F32">
        <v>5</v>
      </c>
      <c r="G32">
        <v>0</v>
      </c>
      <c r="H32">
        <v>0</v>
      </c>
      <c r="I32">
        <v>0</v>
      </c>
      <c r="J32">
        <v>0</v>
      </c>
      <c r="K32">
        <v>0</v>
      </c>
      <c r="L32">
        <v>45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50</v>
      </c>
      <c r="U32">
        <v>20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6929</v>
      </c>
      <c r="B33" t="s">
        <v>28</v>
      </c>
      <c r="C33" t="s">
        <v>75</v>
      </c>
      <c r="D33" s="1">
        <v>46146</v>
      </c>
      <c r="E33">
        <v>57</v>
      </c>
      <c r="F33">
        <v>5</v>
      </c>
      <c r="G33">
        <v>0</v>
      </c>
      <c r="H33">
        <v>0</v>
      </c>
      <c r="I33">
        <v>0</v>
      </c>
      <c r="J33">
        <v>0</v>
      </c>
      <c r="K33">
        <v>0</v>
      </c>
      <c r="L33">
        <v>15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15</v>
      </c>
      <c r="U33">
        <v>5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6906</v>
      </c>
      <c r="B34" t="s">
        <v>28</v>
      </c>
      <c r="C34" t="s">
        <v>77</v>
      </c>
      <c r="D34" s="1">
        <v>46146</v>
      </c>
      <c r="E34">
        <v>39</v>
      </c>
      <c r="F34">
        <v>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5</v>
      </c>
      <c r="N34">
        <v>0</v>
      </c>
      <c r="O34">
        <v>15</v>
      </c>
      <c r="P34">
        <v>0</v>
      </c>
      <c r="Q34">
        <v>0</v>
      </c>
      <c r="R34">
        <v>0</v>
      </c>
      <c r="S34">
        <v>0</v>
      </c>
      <c r="T34">
        <v>20</v>
      </c>
      <c r="U34">
        <v>10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6969</v>
      </c>
      <c r="B35" t="s">
        <v>28</v>
      </c>
      <c r="C35" t="s">
        <v>80</v>
      </c>
      <c r="D35" s="1">
        <v>46146</v>
      </c>
      <c r="E35">
        <v>3</v>
      </c>
      <c r="F35">
        <v>5</v>
      </c>
      <c r="G35">
        <v>0</v>
      </c>
      <c r="H35">
        <v>0</v>
      </c>
      <c r="I35">
        <v>0</v>
      </c>
      <c r="J35">
        <v>0</v>
      </c>
      <c r="K35">
        <v>0</v>
      </c>
      <c r="L35">
        <v>15</v>
      </c>
      <c r="M35">
        <v>0</v>
      </c>
      <c r="N35">
        <v>10</v>
      </c>
      <c r="O35">
        <v>0</v>
      </c>
      <c r="P35">
        <v>0</v>
      </c>
      <c r="Q35">
        <v>0</v>
      </c>
      <c r="R35">
        <v>0</v>
      </c>
      <c r="S35">
        <v>0</v>
      </c>
      <c r="T35">
        <v>15</v>
      </c>
      <c r="U35">
        <v>5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6968</v>
      </c>
      <c r="B36" t="s">
        <v>28</v>
      </c>
      <c r="C36" t="s">
        <v>81</v>
      </c>
      <c r="D36" s="1">
        <v>46146</v>
      </c>
      <c r="E36">
        <v>21</v>
      </c>
      <c r="F36">
        <v>5</v>
      </c>
      <c r="G36">
        <v>0</v>
      </c>
      <c r="H36">
        <v>5</v>
      </c>
      <c r="I36">
        <v>0</v>
      </c>
      <c r="J36">
        <v>10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15</v>
      </c>
      <c r="U36">
        <v>5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7002</v>
      </c>
      <c r="B37" t="s">
        <v>28</v>
      </c>
      <c r="C37" t="s">
        <v>86</v>
      </c>
      <c r="D37" s="1">
        <v>46146</v>
      </c>
      <c r="E37">
        <v>141</v>
      </c>
      <c r="F37">
        <v>3</v>
      </c>
      <c r="G37">
        <v>0</v>
      </c>
      <c r="H37">
        <v>2</v>
      </c>
      <c r="I37">
        <v>0</v>
      </c>
      <c r="J37">
        <v>0</v>
      </c>
      <c r="K37">
        <v>0</v>
      </c>
      <c r="L37">
        <v>0</v>
      </c>
      <c r="M37">
        <v>5</v>
      </c>
      <c r="N37">
        <v>0</v>
      </c>
      <c r="O37">
        <v>0</v>
      </c>
      <c r="P37">
        <v>10</v>
      </c>
      <c r="Q37">
        <v>0</v>
      </c>
      <c r="R37">
        <v>0</v>
      </c>
      <c r="S37">
        <v>0</v>
      </c>
      <c r="T37">
        <v>5</v>
      </c>
      <c r="U37">
        <v>5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6934</v>
      </c>
      <c r="B38" t="s">
        <v>28</v>
      </c>
      <c r="C38" t="s">
        <v>90</v>
      </c>
      <c r="D38" s="1">
        <v>46146</v>
      </c>
      <c r="E38">
        <v>21</v>
      </c>
      <c r="F38">
        <v>3</v>
      </c>
      <c r="G38">
        <v>0</v>
      </c>
      <c r="H38">
        <v>0</v>
      </c>
      <c r="I38">
        <v>0</v>
      </c>
      <c r="J38">
        <v>5</v>
      </c>
      <c r="K38">
        <v>0</v>
      </c>
      <c r="L38">
        <v>15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5</v>
      </c>
      <c r="U38">
        <v>10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7006</v>
      </c>
      <c r="B39" t="s">
        <v>28</v>
      </c>
      <c r="C39" t="s">
        <v>93</v>
      </c>
      <c r="D39" s="1">
        <v>46146</v>
      </c>
      <c r="E39">
        <v>30</v>
      </c>
      <c r="F39">
        <v>3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7</v>
      </c>
      <c r="N39">
        <v>10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5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6936</v>
      </c>
      <c r="B40" t="s">
        <v>28</v>
      </c>
      <c r="C40" t="s">
        <v>94</v>
      </c>
      <c r="D40" s="1">
        <v>46146</v>
      </c>
      <c r="E40">
        <v>32</v>
      </c>
      <c r="F40">
        <v>3</v>
      </c>
      <c r="G40">
        <v>0</v>
      </c>
      <c r="H40">
        <v>2</v>
      </c>
      <c r="I40">
        <v>0</v>
      </c>
      <c r="J40">
        <v>0</v>
      </c>
      <c r="K40">
        <v>5</v>
      </c>
      <c r="L40">
        <v>0</v>
      </c>
      <c r="M40">
        <v>0</v>
      </c>
      <c r="N40">
        <v>0</v>
      </c>
      <c r="O40">
        <v>0</v>
      </c>
      <c r="P40">
        <v>5</v>
      </c>
      <c r="Q40">
        <v>0</v>
      </c>
      <c r="R40">
        <v>0</v>
      </c>
      <c r="S40">
        <v>0</v>
      </c>
      <c r="T40">
        <v>0</v>
      </c>
      <c r="U40">
        <v>5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6914</v>
      </c>
      <c r="B41" t="s">
        <v>28</v>
      </c>
      <c r="C41" t="s">
        <v>92</v>
      </c>
      <c r="D41" s="1">
        <v>46146</v>
      </c>
      <c r="E41">
        <v>18</v>
      </c>
      <c r="F41">
        <v>3</v>
      </c>
      <c r="G41">
        <v>0</v>
      </c>
      <c r="H41">
        <v>0</v>
      </c>
      <c r="I41">
        <v>0</v>
      </c>
      <c r="J41">
        <v>7</v>
      </c>
      <c r="K41">
        <v>0</v>
      </c>
      <c r="L41">
        <v>0</v>
      </c>
      <c r="M41">
        <v>30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5</v>
      </c>
      <c r="U41">
        <v>10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6965</v>
      </c>
      <c r="B42" t="s">
        <v>28</v>
      </c>
      <c r="C42" t="s">
        <v>95</v>
      </c>
      <c r="D42" s="1">
        <v>46146</v>
      </c>
      <c r="E42">
        <v>21</v>
      </c>
      <c r="F42">
        <v>3</v>
      </c>
      <c r="G42">
        <v>3</v>
      </c>
      <c r="H42">
        <v>0</v>
      </c>
      <c r="I42">
        <v>0</v>
      </c>
      <c r="J42">
        <v>20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20</v>
      </c>
      <c r="U42">
        <v>5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6964</v>
      </c>
      <c r="B43" t="s">
        <v>28</v>
      </c>
      <c r="C43" t="s">
        <v>96</v>
      </c>
      <c r="D43" s="1">
        <v>46146</v>
      </c>
      <c r="E43">
        <v>21</v>
      </c>
      <c r="F43">
        <v>3</v>
      </c>
      <c r="G43">
        <v>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3</v>
      </c>
      <c r="O43">
        <v>0</v>
      </c>
      <c r="P43">
        <v>0</v>
      </c>
      <c r="Q43">
        <v>0</v>
      </c>
      <c r="R43">
        <v>0</v>
      </c>
      <c r="S43">
        <v>0</v>
      </c>
      <c r="T43">
        <v>13</v>
      </c>
      <c r="U43">
        <v>5</v>
      </c>
      <c r="V43">
        <v>0</v>
      </c>
      <c r="W43">
        <v>0</v>
      </c>
      <c r="X43">
        <v>0</v>
      </c>
      <c r="Y43">
        <v>0</v>
      </c>
    </row>
    <row r="44" spans="1:25" x14ac:dyDescent="0.3">
      <c r="A44">
        <v>6993</v>
      </c>
      <c r="B44" t="s">
        <v>28</v>
      </c>
      <c r="C44" t="s">
        <v>97</v>
      </c>
      <c r="D44" s="1">
        <v>46146</v>
      </c>
      <c r="E44">
        <v>24</v>
      </c>
      <c r="F44">
        <v>3</v>
      </c>
      <c r="G44">
        <v>2</v>
      </c>
      <c r="H44">
        <v>0</v>
      </c>
      <c r="I44">
        <v>0</v>
      </c>
      <c r="J44">
        <v>10</v>
      </c>
      <c r="K44">
        <v>0</v>
      </c>
      <c r="L44">
        <v>0</v>
      </c>
      <c r="M44">
        <v>10</v>
      </c>
      <c r="N44">
        <v>3</v>
      </c>
      <c r="O44">
        <v>0</v>
      </c>
      <c r="P44">
        <v>0</v>
      </c>
      <c r="Q44">
        <v>0</v>
      </c>
      <c r="R44">
        <v>0</v>
      </c>
      <c r="S44">
        <v>0</v>
      </c>
      <c r="T44">
        <v>20</v>
      </c>
      <c r="U44">
        <v>2</v>
      </c>
      <c r="V44">
        <v>0</v>
      </c>
      <c r="W44">
        <v>0</v>
      </c>
      <c r="X44">
        <v>0</v>
      </c>
      <c r="Y44">
        <v>0</v>
      </c>
    </row>
    <row r="45" spans="1:25" x14ac:dyDescent="0.3">
      <c r="A45">
        <v>6967</v>
      </c>
      <c r="B45" t="s">
        <v>28</v>
      </c>
      <c r="C45" t="s">
        <v>98</v>
      </c>
      <c r="D45" s="1">
        <v>46146</v>
      </c>
      <c r="E45">
        <v>42</v>
      </c>
      <c r="F45">
        <v>3</v>
      </c>
      <c r="G45">
        <v>0</v>
      </c>
      <c r="H45">
        <v>0</v>
      </c>
      <c r="I45">
        <v>0</v>
      </c>
      <c r="J45">
        <v>3</v>
      </c>
      <c r="K45">
        <v>0</v>
      </c>
      <c r="L45">
        <v>0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5</v>
      </c>
      <c r="U45">
        <v>5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6958</v>
      </c>
      <c r="B46" t="s">
        <v>28</v>
      </c>
      <c r="C46" t="s">
        <v>103</v>
      </c>
      <c r="D46" s="1">
        <v>46146</v>
      </c>
      <c r="E46">
        <v>6</v>
      </c>
      <c r="F46">
        <v>2.5</v>
      </c>
      <c r="G46">
        <v>0</v>
      </c>
      <c r="H46">
        <v>5.5</v>
      </c>
      <c r="I46">
        <v>0</v>
      </c>
      <c r="J46">
        <v>5</v>
      </c>
      <c r="K46">
        <v>0</v>
      </c>
      <c r="L46">
        <v>15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22</v>
      </c>
      <c r="U46">
        <v>10</v>
      </c>
      <c r="V46">
        <v>0</v>
      </c>
      <c r="W46">
        <v>0</v>
      </c>
      <c r="X46">
        <v>0</v>
      </c>
      <c r="Y46">
        <v>0</v>
      </c>
    </row>
    <row r="47" spans="1:25" x14ac:dyDescent="0.3">
      <c r="A47">
        <v>6992</v>
      </c>
      <c r="B47" t="s">
        <v>28</v>
      </c>
      <c r="C47" t="s">
        <v>107</v>
      </c>
      <c r="D47" s="1">
        <v>46146</v>
      </c>
      <c r="E47">
        <v>84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3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6933</v>
      </c>
      <c r="B48" t="s">
        <v>28</v>
      </c>
      <c r="C48" t="s">
        <v>108</v>
      </c>
      <c r="D48" s="1">
        <v>46146</v>
      </c>
      <c r="E48">
        <v>27</v>
      </c>
      <c r="F48">
        <v>2</v>
      </c>
      <c r="G48">
        <v>3</v>
      </c>
      <c r="H48">
        <v>0</v>
      </c>
      <c r="I48">
        <v>0</v>
      </c>
      <c r="J48">
        <v>5</v>
      </c>
      <c r="K48">
        <v>0</v>
      </c>
      <c r="L48">
        <v>0</v>
      </c>
      <c r="M48">
        <v>5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10</v>
      </c>
      <c r="U48">
        <v>5</v>
      </c>
      <c r="V48">
        <v>0</v>
      </c>
      <c r="W48">
        <v>0</v>
      </c>
      <c r="X48">
        <v>0</v>
      </c>
      <c r="Y48">
        <v>0</v>
      </c>
    </row>
    <row r="49" spans="1:25" x14ac:dyDescent="0.3">
      <c r="A49">
        <v>6962</v>
      </c>
      <c r="B49" t="s">
        <v>28</v>
      </c>
      <c r="C49" t="s">
        <v>110</v>
      </c>
      <c r="D49" s="1">
        <v>46146</v>
      </c>
      <c r="E49">
        <v>42</v>
      </c>
      <c r="F49">
        <v>2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3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3</v>
      </c>
      <c r="U49">
        <v>2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6976</v>
      </c>
      <c r="B50" t="s">
        <v>28</v>
      </c>
      <c r="C50" t="s">
        <v>116</v>
      </c>
      <c r="D50" s="1">
        <v>46146</v>
      </c>
      <c r="E50">
        <v>15</v>
      </c>
      <c r="F50">
        <v>2</v>
      </c>
      <c r="G50">
        <v>0</v>
      </c>
      <c r="H50">
        <v>6</v>
      </c>
      <c r="I50">
        <v>0</v>
      </c>
      <c r="J50">
        <v>0</v>
      </c>
      <c r="K50">
        <v>0</v>
      </c>
      <c r="L50">
        <v>5</v>
      </c>
      <c r="M50">
        <v>5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10</v>
      </c>
      <c r="U50">
        <v>5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6977</v>
      </c>
      <c r="B51" t="s">
        <v>28</v>
      </c>
      <c r="C51" t="s">
        <v>117</v>
      </c>
      <c r="D51" s="1">
        <v>46146</v>
      </c>
      <c r="E51">
        <v>15</v>
      </c>
      <c r="F51">
        <v>2</v>
      </c>
      <c r="G51">
        <v>0</v>
      </c>
      <c r="H51">
        <v>5</v>
      </c>
      <c r="I51">
        <v>0</v>
      </c>
      <c r="J51">
        <v>0</v>
      </c>
      <c r="K51">
        <v>0</v>
      </c>
      <c r="L51">
        <v>8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5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6978</v>
      </c>
      <c r="B52" t="s">
        <v>28</v>
      </c>
      <c r="C52" t="s">
        <v>119</v>
      </c>
      <c r="D52" s="1">
        <v>46146</v>
      </c>
      <c r="E52">
        <v>30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3</v>
      </c>
      <c r="V52">
        <v>0</v>
      </c>
      <c r="W52">
        <v>0</v>
      </c>
      <c r="X52">
        <v>0</v>
      </c>
      <c r="Y52">
        <v>0</v>
      </c>
    </row>
    <row r="53" spans="1:25" x14ac:dyDescent="0.3">
      <c r="A53">
        <v>6935</v>
      </c>
      <c r="B53" t="s">
        <v>28</v>
      </c>
      <c r="C53" t="s">
        <v>120</v>
      </c>
      <c r="D53" s="1">
        <v>46146</v>
      </c>
      <c r="E53">
        <v>60</v>
      </c>
      <c r="F53">
        <v>2</v>
      </c>
      <c r="G53">
        <v>0</v>
      </c>
      <c r="H53">
        <v>3</v>
      </c>
      <c r="I53">
        <v>0</v>
      </c>
      <c r="J53">
        <v>0</v>
      </c>
      <c r="K53">
        <v>10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10</v>
      </c>
      <c r="U53">
        <v>5</v>
      </c>
      <c r="V53">
        <v>0</v>
      </c>
      <c r="W53">
        <v>0</v>
      </c>
      <c r="X53">
        <v>0</v>
      </c>
      <c r="Y53">
        <v>0</v>
      </c>
    </row>
    <row r="54" spans="1:25" x14ac:dyDescent="0.3">
      <c r="A54">
        <v>7005</v>
      </c>
      <c r="B54" t="s">
        <v>28</v>
      </c>
      <c r="C54" t="s">
        <v>106</v>
      </c>
      <c r="D54" s="1">
        <v>46146</v>
      </c>
      <c r="E54">
        <v>30</v>
      </c>
      <c r="F54">
        <v>2</v>
      </c>
      <c r="G54">
        <v>0</v>
      </c>
      <c r="H54">
        <v>5</v>
      </c>
      <c r="I54">
        <v>0</v>
      </c>
      <c r="J54">
        <v>8</v>
      </c>
      <c r="K54">
        <v>0</v>
      </c>
      <c r="L54">
        <v>0</v>
      </c>
      <c r="M54">
        <v>2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5</v>
      </c>
      <c r="U54">
        <v>5</v>
      </c>
      <c r="V54">
        <v>0</v>
      </c>
      <c r="W54">
        <v>0</v>
      </c>
      <c r="X54">
        <v>0</v>
      </c>
      <c r="Y54">
        <v>0</v>
      </c>
    </row>
    <row r="55" spans="1:25" x14ac:dyDescent="0.3">
      <c r="A55">
        <v>6944</v>
      </c>
      <c r="B55" t="s">
        <v>28</v>
      </c>
      <c r="C55" t="s">
        <v>122</v>
      </c>
      <c r="D55" s="1">
        <v>46146</v>
      </c>
      <c r="E55">
        <v>6</v>
      </c>
      <c r="F55">
        <v>2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30</v>
      </c>
      <c r="N55">
        <v>3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6943</v>
      </c>
      <c r="B56" t="s">
        <v>28</v>
      </c>
      <c r="C56" t="s">
        <v>121</v>
      </c>
      <c r="D56" s="1">
        <v>46146</v>
      </c>
      <c r="E56">
        <v>21</v>
      </c>
      <c r="F56">
        <v>2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20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18</v>
      </c>
      <c r="U56">
        <v>10</v>
      </c>
      <c r="V56">
        <v>0</v>
      </c>
      <c r="W56">
        <v>0</v>
      </c>
      <c r="X56">
        <v>0</v>
      </c>
      <c r="Y56">
        <v>0</v>
      </c>
    </row>
    <row r="57" spans="1:25" x14ac:dyDescent="0.3">
      <c r="A57">
        <v>6932</v>
      </c>
      <c r="B57" t="s">
        <v>28</v>
      </c>
      <c r="C57" t="s">
        <v>125</v>
      </c>
      <c r="D57" s="1">
        <v>46146</v>
      </c>
      <c r="E57">
        <v>624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1</v>
      </c>
      <c r="N57">
        <v>1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</row>
    <row r="58" spans="1:25" x14ac:dyDescent="0.3">
      <c r="A58">
        <v>6966</v>
      </c>
      <c r="B58" t="s">
        <v>28</v>
      </c>
      <c r="C58" t="s">
        <v>132</v>
      </c>
      <c r="D58" s="1">
        <v>46146</v>
      </c>
      <c r="E58">
        <v>42</v>
      </c>
      <c r="F58">
        <v>0</v>
      </c>
      <c r="G58">
        <v>0</v>
      </c>
      <c r="H58">
        <v>2</v>
      </c>
      <c r="I58">
        <v>0</v>
      </c>
      <c r="J58">
        <v>3</v>
      </c>
      <c r="K58">
        <v>0</v>
      </c>
      <c r="L58">
        <v>0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2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6963</v>
      </c>
      <c r="B59" t="s">
        <v>28</v>
      </c>
      <c r="C59" t="s">
        <v>133</v>
      </c>
      <c r="D59" s="1">
        <v>46146</v>
      </c>
      <c r="E59">
        <v>21</v>
      </c>
      <c r="F59">
        <v>0</v>
      </c>
      <c r="G59">
        <v>0</v>
      </c>
      <c r="H59">
        <v>5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10</v>
      </c>
      <c r="Q59">
        <v>0</v>
      </c>
      <c r="R59">
        <v>0</v>
      </c>
      <c r="S59">
        <v>0</v>
      </c>
      <c r="T59">
        <v>0</v>
      </c>
      <c r="U59">
        <v>5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6991</v>
      </c>
      <c r="B60" t="s">
        <v>28</v>
      </c>
      <c r="C60" t="s">
        <v>134</v>
      </c>
      <c r="D60" s="1">
        <v>46146</v>
      </c>
      <c r="E60">
        <v>48</v>
      </c>
      <c r="F60">
        <v>0</v>
      </c>
      <c r="G60">
        <v>0</v>
      </c>
      <c r="H60">
        <v>10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30</v>
      </c>
      <c r="U60">
        <v>5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7017</v>
      </c>
      <c r="B61" t="s">
        <v>28</v>
      </c>
      <c r="C61" t="s">
        <v>135</v>
      </c>
      <c r="D61" s="1">
        <v>46146</v>
      </c>
      <c r="E61">
        <v>30</v>
      </c>
      <c r="F61">
        <v>0</v>
      </c>
      <c r="G61">
        <v>0</v>
      </c>
      <c r="H61">
        <v>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5</v>
      </c>
      <c r="Q61">
        <v>0</v>
      </c>
      <c r="R61">
        <v>0</v>
      </c>
      <c r="S61">
        <v>0</v>
      </c>
      <c r="T61">
        <v>0</v>
      </c>
      <c r="U61">
        <v>10</v>
      </c>
      <c r="V61">
        <v>0</v>
      </c>
      <c r="W61">
        <v>0</v>
      </c>
      <c r="X61">
        <v>0</v>
      </c>
      <c r="Y61">
        <v>0</v>
      </c>
    </row>
    <row r="62" spans="1:25" x14ac:dyDescent="0.3">
      <c r="A62">
        <v>7016</v>
      </c>
      <c r="B62" t="s">
        <v>28</v>
      </c>
      <c r="C62" t="s">
        <v>136</v>
      </c>
      <c r="D62" s="1">
        <v>46146</v>
      </c>
      <c r="E62">
        <v>30</v>
      </c>
      <c r="F62">
        <v>0</v>
      </c>
      <c r="G62">
        <v>0</v>
      </c>
      <c r="H62">
        <v>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5</v>
      </c>
      <c r="V62">
        <v>0</v>
      </c>
      <c r="W62">
        <v>0</v>
      </c>
      <c r="X62">
        <v>0</v>
      </c>
      <c r="Y62">
        <v>0</v>
      </c>
    </row>
    <row r="63" spans="1:25" x14ac:dyDescent="0.3">
      <c r="A63">
        <v>6959</v>
      </c>
      <c r="B63" t="s">
        <v>28</v>
      </c>
      <c r="C63" t="s">
        <v>137</v>
      </c>
      <c r="D63" s="1">
        <v>46146</v>
      </c>
      <c r="E63">
        <v>6</v>
      </c>
      <c r="F63">
        <v>0</v>
      </c>
      <c r="G63">
        <v>5</v>
      </c>
      <c r="H63">
        <v>0</v>
      </c>
      <c r="I63">
        <v>0</v>
      </c>
      <c r="J63">
        <v>0</v>
      </c>
      <c r="K63">
        <v>0</v>
      </c>
      <c r="L63">
        <v>0</v>
      </c>
      <c r="M63">
        <v>3</v>
      </c>
      <c r="N63">
        <v>0</v>
      </c>
      <c r="O63">
        <v>0</v>
      </c>
      <c r="P63">
        <v>5</v>
      </c>
      <c r="Q63">
        <v>0</v>
      </c>
      <c r="R63">
        <v>0</v>
      </c>
      <c r="S63">
        <v>0</v>
      </c>
      <c r="T63">
        <v>12</v>
      </c>
      <c r="U63">
        <v>5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6903</v>
      </c>
      <c r="B64" t="s">
        <v>28</v>
      </c>
      <c r="C64" t="s">
        <v>138</v>
      </c>
      <c r="D64" s="1">
        <v>46146</v>
      </c>
      <c r="E64">
        <v>18</v>
      </c>
      <c r="F64">
        <v>0</v>
      </c>
      <c r="G64">
        <v>15</v>
      </c>
      <c r="H64">
        <v>0</v>
      </c>
      <c r="I64">
        <v>0</v>
      </c>
      <c r="J64">
        <v>15</v>
      </c>
      <c r="K64">
        <v>0</v>
      </c>
      <c r="L64">
        <v>60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45</v>
      </c>
      <c r="U64">
        <v>15</v>
      </c>
      <c r="V64">
        <v>0</v>
      </c>
      <c r="W64">
        <v>0</v>
      </c>
      <c r="X64">
        <v>0</v>
      </c>
      <c r="Y64">
        <v>0</v>
      </c>
    </row>
    <row r="65" spans="1:25" x14ac:dyDescent="0.3">
      <c r="A65">
        <v>6945</v>
      </c>
      <c r="B65" t="s">
        <v>28</v>
      </c>
      <c r="C65" t="s">
        <v>139</v>
      </c>
      <c r="D65" s="1">
        <v>46146</v>
      </c>
      <c r="E65">
        <v>33</v>
      </c>
      <c r="F65">
        <v>0</v>
      </c>
      <c r="G65">
        <v>0</v>
      </c>
      <c r="H65">
        <v>3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3</v>
      </c>
      <c r="Q65">
        <v>0</v>
      </c>
      <c r="R65">
        <v>0</v>
      </c>
      <c r="S65">
        <v>0</v>
      </c>
      <c r="T65">
        <v>12</v>
      </c>
      <c r="U65">
        <v>3</v>
      </c>
      <c r="V65">
        <v>0</v>
      </c>
      <c r="W65">
        <v>0</v>
      </c>
      <c r="X65">
        <v>0</v>
      </c>
      <c r="Y65">
        <v>0</v>
      </c>
    </row>
    <row r="66" spans="1:25" x14ac:dyDescent="0.3">
      <c r="A66">
        <v>6979</v>
      </c>
      <c r="B66" t="s">
        <v>28</v>
      </c>
      <c r="C66" t="s">
        <v>140</v>
      </c>
      <c r="D66" s="1">
        <v>46146</v>
      </c>
      <c r="E66">
        <v>15</v>
      </c>
      <c r="F66">
        <v>0</v>
      </c>
      <c r="G66">
        <v>5</v>
      </c>
      <c r="H66">
        <v>0</v>
      </c>
      <c r="I66">
        <v>0</v>
      </c>
      <c r="J66">
        <v>0</v>
      </c>
      <c r="K66">
        <v>0</v>
      </c>
      <c r="L66">
        <v>0</v>
      </c>
      <c r="M66">
        <v>10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10</v>
      </c>
      <c r="U66">
        <v>5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7026</v>
      </c>
      <c r="B67" t="s">
        <v>28</v>
      </c>
      <c r="C67" s="3">
        <v>14353626</v>
      </c>
      <c r="D67" s="1">
        <v>46146</v>
      </c>
      <c r="E67">
        <v>6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25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15</v>
      </c>
      <c r="U67">
        <v>5</v>
      </c>
      <c r="V67">
        <v>0</v>
      </c>
      <c r="W67">
        <v>0</v>
      </c>
      <c r="X67">
        <v>0</v>
      </c>
      <c r="Y67">
        <v>0</v>
      </c>
    </row>
    <row r="68" spans="1:25" x14ac:dyDescent="0.3">
      <c r="A68">
        <v>6013</v>
      </c>
      <c r="B68" t="s">
        <v>130</v>
      </c>
      <c r="C68" t="s">
        <v>131</v>
      </c>
      <c r="D68" s="1">
        <v>46147</v>
      </c>
      <c r="E68">
        <v>500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10</v>
      </c>
      <c r="Q68">
        <v>0</v>
      </c>
      <c r="R68">
        <v>0</v>
      </c>
      <c r="S68">
        <v>0</v>
      </c>
      <c r="T68">
        <v>0</v>
      </c>
      <c r="U68">
        <v>5</v>
      </c>
      <c r="V68">
        <v>0</v>
      </c>
      <c r="W68">
        <v>0</v>
      </c>
      <c r="X68">
        <v>5</v>
      </c>
      <c r="Y68">
        <v>0</v>
      </c>
    </row>
    <row r="69" spans="1:25" x14ac:dyDescent="0.3">
      <c r="A69">
        <v>7024</v>
      </c>
      <c r="B69" t="s">
        <v>30</v>
      </c>
      <c r="C69" t="s">
        <v>31</v>
      </c>
      <c r="D69" s="1">
        <v>46147</v>
      </c>
      <c r="E69">
        <v>6</v>
      </c>
      <c r="F69">
        <v>15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15</v>
      </c>
      <c r="U69">
        <v>10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6787</v>
      </c>
      <c r="B70" t="s">
        <v>30</v>
      </c>
      <c r="C70" t="s">
        <v>50</v>
      </c>
      <c r="D70" s="1">
        <v>46147</v>
      </c>
      <c r="E70">
        <v>19</v>
      </c>
      <c r="F70">
        <v>10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10</v>
      </c>
      <c r="N70">
        <v>0</v>
      </c>
      <c r="O70">
        <v>0</v>
      </c>
      <c r="P70">
        <v>5</v>
      </c>
      <c r="Q70">
        <v>0</v>
      </c>
      <c r="R70">
        <v>0</v>
      </c>
      <c r="S70">
        <v>0</v>
      </c>
      <c r="T70">
        <v>10</v>
      </c>
      <c r="U70">
        <v>5</v>
      </c>
      <c r="V70">
        <v>0</v>
      </c>
      <c r="W70">
        <v>0</v>
      </c>
      <c r="X70">
        <v>0</v>
      </c>
      <c r="Y70">
        <v>0</v>
      </c>
    </row>
    <row r="71" spans="1:25" x14ac:dyDescent="0.3">
      <c r="A71">
        <v>6987</v>
      </c>
      <c r="B71" t="s">
        <v>112</v>
      </c>
      <c r="C71" t="s">
        <v>113</v>
      </c>
      <c r="D71" s="1">
        <v>46147</v>
      </c>
      <c r="E71">
        <v>14</v>
      </c>
      <c r="F71">
        <v>2</v>
      </c>
      <c r="G71">
        <v>0</v>
      </c>
      <c r="H71">
        <v>0</v>
      </c>
      <c r="I71">
        <v>0</v>
      </c>
      <c r="J71">
        <v>0</v>
      </c>
      <c r="K71">
        <v>10</v>
      </c>
      <c r="L71">
        <v>0</v>
      </c>
      <c r="M71">
        <v>0</v>
      </c>
      <c r="N71">
        <v>0</v>
      </c>
      <c r="O71">
        <v>15</v>
      </c>
      <c r="P71">
        <v>0</v>
      </c>
      <c r="Q71">
        <v>0</v>
      </c>
      <c r="R71">
        <v>0</v>
      </c>
      <c r="S71">
        <v>0</v>
      </c>
      <c r="T71">
        <v>0</v>
      </c>
      <c r="U71">
        <v>10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6547</v>
      </c>
      <c r="B72" t="s">
        <v>25</v>
      </c>
      <c r="C72" t="s">
        <v>27</v>
      </c>
      <c r="D72" s="1">
        <v>46150</v>
      </c>
      <c r="E72">
        <v>1</v>
      </c>
      <c r="F72">
        <v>400</v>
      </c>
      <c r="G72">
        <v>680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30</v>
      </c>
      <c r="U72">
        <v>240</v>
      </c>
      <c r="V72">
        <v>0</v>
      </c>
      <c r="W72">
        <v>500</v>
      </c>
      <c r="X72">
        <v>0</v>
      </c>
      <c r="Y72">
        <v>0</v>
      </c>
    </row>
    <row r="73" spans="1:25" x14ac:dyDescent="0.3">
      <c r="A73">
        <v>6554</v>
      </c>
      <c r="B73" t="s">
        <v>25</v>
      </c>
      <c r="C73" t="s">
        <v>26</v>
      </c>
      <c r="D73" s="1">
        <v>46150</v>
      </c>
      <c r="E73">
        <v>1</v>
      </c>
      <c r="F73">
        <v>400</v>
      </c>
      <c r="G73">
        <v>680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30</v>
      </c>
      <c r="U73">
        <v>240</v>
      </c>
      <c r="V73">
        <v>0</v>
      </c>
      <c r="W73">
        <v>500</v>
      </c>
      <c r="X73">
        <v>0</v>
      </c>
      <c r="Y73">
        <v>0</v>
      </c>
    </row>
    <row r="74" spans="1:25" x14ac:dyDescent="0.3">
      <c r="A74">
        <v>6999</v>
      </c>
      <c r="B74" t="s">
        <v>28</v>
      </c>
      <c r="C74" t="s">
        <v>85</v>
      </c>
      <c r="D74" s="1">
        <v>46150</v>
      </c>
      <c r="E74">
        <v>39</v>
      </c>
      <c r="F74">
        <v>3</v>
      </c>
      <c r="G74">
        <v>0</v>
      </c>
      <c r="H74">
        <v>0</v>
      </c>
      <c r="I74">
        <v>0</v>
      </c>
      <c r="J74">
        <v>0</v>
      </c>
      <c r="K74">
        <v>5</v>
      </c>
      <c r="L74">
        <v>0</v>
      </c>
      <c r="M74">
        <v>5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5</v>
      </c>
      <c r="U74">
        <v>5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6997</v>
      </c>
      <c r="B75" t="s">
        <v>28</v>
      </c>
      <c r="C75" t="s">
        <v>88</v>
      </c>
      <c r="D75" s="1">
        <v>46150</v>
      </c>
      <c r="E75">
        <v>39</v>
      </c>
      <c r="F75">
        <v>3</v>
      </c>
      <c r="G75">
        <v>0</v>
      </c>
      <c r="H75">
        <v>5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2.5</v>
      </c>
      <c r="U75">
        <v>2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6998</v>
      </c>
      <c r="B76" t="s">
        <v>28</v>
      </c>
      <c r="C76" t="s">
        <v>91</v>
      </c>
      <c r="D76" s="1">
        <v>46150</v>
      </c>
      <c r="E76">
        <v>39</v>
      </c>
      <c r="F76">
        <v>3</v>
      </c>
      <c r="G76">
        <v>0</v>
      </c>
      <c r="H76">
        <v>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2.5</v>
      </c>
      <c r="U76">
        <v>2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6996</v>
      </c>
      <c r="B77" t="s">
        <v>28</v>
      </c>
      <c r="C77" t="s">
        <v>109</v>
      </c>
      <c r="D77" s="1">
        <v>46150</v>
      </c>
      <c r="E77">
        <v>39</v>
      </c>
      <c r="F77">
        <v>2</v>
      </c>
      <c r="G77">
        <v>3</v>
      </c>
      <c r="H77">
        <v>0</v>
      </c>
      <c r="I77">
        <v>0</v>
      </c>
      <c r="J77">
        <v>0</v>
      </c>
      <c r="K77">
        <v>0</v>
      </c>
      <c r="L77">
        <v>0</v>
      </c>
      <c r="M77">
        <v>3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2.5</v>
      </c>
      <c r="U77">
        <v>2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7032</v>
      </c>
      <c r="B78" t="s">
        <v>130</v>
      </c>
      <c r="C78" t="s">
        <v>148</v>
      </c>
      <c r="D78" s="1">
        <v>46150</v>
      </c>
      <c r="E78">
        <v>100</v>
      </c>
      <c r="F78">
        <v>0</v>
      </c>
      <c r="G78">
        <v>0</v>
      </c>
      <c r="H78">
        <v>5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5</v>
      </c>
      <c r="Q78">
        <v>0</v>
      </c>
      <c r="R78">
        <v>0</v>
      </c>
      <c r="S78">
        <v>0</v>
      </c>
      <c r="T78">
        <v>0</v>
      </c>
      <c r="U78">
        <v>5</v>
      </c>
      <c r="V78">
        <v>0</v>
      </c>
      <c r="W78">
        <v>0</v>
      </c>
      <c r="X78">
        <v>0</v>
      </c>
      <c r="Y78">
        <v>0</v>
      </c>
    </row>
    <row r="79" spans="1:25" x14ac:dyDescent="0.3">
      <c r="A79">
        <v>6989</v>
      </c>
      <c r="B79" t="s">
        <v>28</v>
      </c>
      <c r="C79" s="3">
        <v>13770652</v>
      </c>
      <c r="D79" s="1">
        <v>46150</v>
      </c>
      <c r="E79">
        <v>30</v>
      </c>
      <c r="F79">
        <v>2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5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5</v>
      </c>
      <c r="U79">
        <v>3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7085</v>
      </c>
      <c r="B80" t="s">
        <v>28</v>
      </c>
      <c r="C80" s="3">
        <v>13842644</v>
      </c>
      <c r="D80" s="1">
        <v>46150</v>
      </c>
      <c r="E80">
        <v>60</v>
      </c>
      <c r="F80">
        <f>'[1]Tempo de fabricação'!B223</f>
        <v>0</v>
      </c>
      <c r="G80">
        <f>'[1]Tempo de fabricação'!B228</f>
        <v>0</v>
      </c>
      <c r="H80">
        <v>2</v>
      </c>
      <c r="I80">
        <f>'[1]Tempo de fabricação'!F222</f>
        <v>0</v>
      </c>
      <c r="J80">
        <f>'[1]Tempo de fabricação'!B231</f>
        <v>0</v>
      </c>
      <c r="K80">
        <f>'[1]Tempo de fabricação'!B232</f>
        <v>0</v>
      </c>
      <c r="L80">
        <f>'[1]Tempo de fabricação'!B234</f>
        <v>0</v>
      </c>
      <c r="M80">
        <f>'[1]Tempo de fabricação'!B233</f>
        <v>0</v>
      </c>
      <c r="N80">
        <f>'[1]Tempo de fabricação'!B239</f>
        <v>0</v>
      </c>
      <c r="O80">
        <f>'[1]Tempo de fabricação'!B236</f>
        <v>0</v>
      </c>
      <c r="P80">
        <f>'[1]Tempo de fabricação'!B235</f>
        <v>0</v>
      </c>
      <c r="Q80">
        <f>'[1]Tempo de fabricação'!B237</f>
        <v>0</v>
      </c>
      <c r="R80">
        <f>'[1]Tempo de fabricação'!B255</f>
        <v>0</v>
      </c>
      <c r="S80">
        <f>'[1]Tempo de fabricação'!B238</f>
        <v>0</v>
      </c>
      <c r="T80">
        <f>SUM('[1]Tempo de fabricação'!B243:B247)</f>
        <v>0</v>
      </c>
      <c r="U80">
        <f>'[1]Tempo de fabricação'!B248</f>
        <v>0</v>
      </c>
      <c r="V80">
        <f>'[1]Tempo de fabricação'!B249</f>
        <v>0</v>
      </c>
      <c r="W80">
        <f>'[1]Tempo de fabricação'!B250</f>
        <v>0</v>
      </c>
      <c r="X80">
        <f>'[1]Tempo de fabricação'!B251</f>
        <v>0</v>
      </c>
      <c r="Y80">
        <f>SUM('[1]Tempo de fabricação'!B256:B257)</f>
        <v>0</v>
      </c>
    </row>
    <row r="81" spans="1:25" x14ac:dyDescent="0.3">
      <c r="A81">
        <v>7086</v>
      </c>
      <c r="B81" t="s">
        <v>28</v>
      </c>
      <c r="C81" s="3">
        <v>13771165</v>
      </c>
      <c r="D81" s="1">
        <v>46150</v>
      </c>
      <c r="E81">
        <v>30</v>
      </c>
      <c r="F81">
        <v>0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1</v>
      </c>
      <c r="V81">
        <v>0</v>
      </c>
      <c r="W81">
        <v>0</v>
      </c>
      <c r="X81">
        <v>0</v>
      </c>
      <c r="Y81">
        <v>0</v>
      </c>
    </row>
    <row r="82" spans="1:25" x14ac:dyDescent="0.3">
      <c r="A82">
        <v>6878</v>
      </c>
      <c r="B82" t="s">
        <v>25</v>
      </c>
      <c r="C82" t="s">
        <v>55</v>
      </c>
      <c r="D82" s="1">
        <v>46151</v>
      </c>
      <c r="E82">
        <v>24</v>
      </c>
      <c r="F82">
        <v>5</v>
      </c>
      <c r="G82">
        <v>0</v>
      </c>
      <c r="H82">
        <v>0</v>
      </c>
      <c r="I82">
        <v>0</v>
      </c>
      <c r="J82">
        <v>0</v>
      </c>
      <c r="K82">
        <v>5</v>
      </c>
      <c r="L82">
        <v>0</v>
      </c>
      <c r="M82">
        <v>0</v>
      </c>
      <c r="N82">
        <v>0</v>
      </c>
      <c r="O82">
        <v>15</v>
      </c>
      <c r="P82">
        <v>0</v>
      </c>
      <c r="Q82">
        <v>0</v>
      </c>
      <c r="R82">
        <v>0</v>
      </c>
      <c r="S82">
        <v>0</v>
      </c>
      <c r="T82">
        <v>0</v>
      </c>
      <c r="U82">
        <v>15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6800</v>
      </c>
      <c r="B83" t="s">
        <v>30</v>
      </c>
      <c r="C83" t="s">
        <v>144</v>
      </c>
      <c r="D83" s="1">
        <v>46151</v>
      </c>
      <c r="E83">
        <v>12</v>
      </c>
      <c r="F83">
        <v>0</v>
      </c>
      <c r="G83">
        <v>0</v>
      </c>
      <c r="H83">
        <v>10</v>
      </c>
      <c r="I83">
        <v>0</v>
      </c>
      <c r="J83">
        <v>60</v>
      </c>
      <c r="K83">
        <v>0</v>
      </c>
      <c r="L83">
        <v>0</v>
      </c>
      <c r="M83">
        <v>10</v>
      </c>
      <c r="N83">
        <v>0</v>
      </c>
      <c r="O83">
        <v>0</v>
      </c>
      <c r="P83">
        <v>0</v>
      </c>
      <c r="Q83">
        <v>5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6931</v>
      </c>
      <c r="B84" t="s">
        <v>28</v>
      </c>
      <c r="C84" t="s">
        <v>43</v>
      </c>
      <c r="D84" s="1">
        <v>46153</v>
      </c>
      <c r="E84">
        <v>18</v>
      </c>
      <c r="F84">
        <v>10</v>
      </c>
      <c r="G84">
        <v>0</v>
      </c>
      <c r="H84">
        <v>0</v>
      </c>
      <c r="I84">
        <v>0</v>
      </c>
      <c r="J84">
        <v>0</v>
      </c>
      <c r="K84">
        <v>0</v>
      </c>
      <c r="L84">
        <v>60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60</v>
      </c>
      <c r="U84">
        <v>20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6805</v>
      </c>
      <c r="B85" t="s">
        <v>30</v>
      </c>
      <c r="C85" t="s">
        <v>52</v>
      </c>
      <c r="D85" s="1">
        <v>46153</v>
      </c>
      <c r="E85">
        <v>4</v>
      </c>
      <c r="F85">
        <v>10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10</v>
      </c>
      <c r="N85">
        <v>0</v>
      </c>
      <c r="O85">
        <v>0</v>
      </c>
      <c r="P85">
        <v>5</v>
      </c>
      <c r="Q85">
        <v>0</v>
      </c>
      <c r="R85">
        <v>0</v>
      </c>
      <c r="S85">
        <v>0</v>
      </c>
      <c r="T85">
        <v>10</v>
      </c>
      <c r="U85">
        <v>5</v>
      </c>
      <c r="V85">
        <v>0</v>
      </c>
      <c r="W85">
        <v>0</v>
      </c>
      <c r="X85">
        <v>0</v>
      </c>
      <c r="Y85">
        <v>0</v>
      </c>
    </row>
    <row r="86" spans="1:25" x14ac:dyDescent="0.3">
      <c r="A86">
        <v>7029</v>
      </c>
      <c r="B86" t="s">
        <v>28</v>
      </c>
      <c r="C86" t="s">
        <v>56</v>
      </c>
      <c r="D86" s="1">
        <v>46153</v>
      </c>
      <c r="E86">
        <v>12</v>
      </c>
      <c r="F86">
        <v>5</v>
      </c>
      <c r="G86">
        <v>0</v>
      </c>
      <c r="H86">
        <v>0</v>
      </c>
      <c r="I86">
        <v>0</v>
      </c>
      <c r="J86">
        <v>0</v>
      </c>
      <c r="K86">
        <v>0</v>
      </c>
      <c r="L86">
        <v>10</v>
      </c>
      <c r="M86">
        <v>10</v>
      </c>
      <c r="N86">
        <v>5</v>
      </c>
      <c r="O86">
        <v>0</v>
      </c>
      <c r="P86">
        <v>0</v>
      </c>
      <c r="Q86">
        <v>0</v>
      </c>
      <c r="R86">
        <v>0</v>
      </c>
      <c r="S86">
        <v>0</v>
      </c>
      <c r="T86">
        <v>15</v>
      </c>
      <c r="U86">
        <v>5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6907</v>
      </c>
      <c r="B87" t="s">
        <v>28</v>
      </c>
      <c r="C87" t="s">
        <v>58</v>
      </c>
      <c r="D87" s="1">
        <v>46153</v>
      </c>
      <c r="E87">
        <v>54</v>
      </c>
      <c r="F87">
        <v>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5</v>
      </c>
      <c r="N87">
        <v>0</v>
      </c>
      <c r="O87">
        <v>10</v>
      </c>
      <c r="P87">
        <v>5</v>
      </c>
      <c r="Q87">
        <v>0</v>
      </c>
      <c r="R87">
        <v>0</v>
      </c>
      <c r="S87">
        <v>0</v>
      </c>
      <c r="T87">
        <v>20</v>
      </c>
      <c r="U87">
        <v>10</v>
      </c>
      <c r="V87">
        <v>0</v>
      </c>
      <c r="W87">
        <v>0</v>
      </c>
      <c r="X87">
        <v>0</v>
      </c>
      <c r="Y87">
        <v>0</v>
      </c>
    </row>
    <row r="88" spans="1:25" x14ac:dyDescent="0.3">
      <c r="A88">
        <v>6995</v>
      </c>
      <c r="B88" t="s">
        <v>28</v>
      </c>
      <c r="C88" t="s">
        <v>61</v>
      </c>
      <c r="D88" s="1">
        <v>46153</v>
      </c>
      <c r="E88">
        <v>3</v>
      </c>
      <c r="F88">
        <v>5</v>
      </c>
      <c r="G88">
        <v>0</v>
      </c>
      <c r="H88">
        <v>5</v>
      </c>
      <c r="I88">
        <v>0</v>
      </c>
      <c r="J88">
        <v>0</v>
      </c>
      <c r="K88">
        <v>0</v>
      </c>
      <c r="L88">
        <v>0</v>
      </c>
      <c r="M88">
        <v>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15</v>
      </c>
      <c r="U88">
        <v>10</v>
      </c>
      <c r="V88">
        <v>5</v>
      </c>
      <c r="W88">
        <v>0</v>
      </c>
      <c r="X88">
        <v>0</v>
      </c>
      <c r="Y88">
        <v>0</v>
      </c>
    </row>
    <row r="89" spans="1:25" x14ac:dyDescent="0.3">
      <c r="A89">
        <v>7028</v>
      </c>
      <c r="B89" t="s">
        <v>28</v>
      </c>
      <c r="C89" t="s">
        <v>62</v>
      </c>
      <c r="D89" s="1">
        <v>46153</v>
      </c>
      <c r="E89">
        <v>12</v>
      </c>
      <c r="F89">
        <v>5</v>
      </c>
      <c r="G89">
        <v>0</v>
      </c>
      <c r="H89">
        <v>0</v>
      </c>
      <c r="I89">
        <v>0</v>
      </c>
      <c r="J89">
        <v>0</v>
      </c>
      <c r="K89">
        <v>0</v>
      </c>
      <c r="L89">
        <v>10</v>
      </c>
      <c r="M89">
        <v>10</v>
      </c>
      <c r="N89">
        <v>5</v>
      </c>
      <c r="O89">
        <v>0</v>
      </c>
      <c r="P89">
        <v>0</v>
      </c>
      <c r="Q89">
        <v>0</v>
      </c>
      <c r="R89">
        <v>0</v>
      </c>
      <c r="S89">
        <v>0</v>
      </c>
      <c r="T89">
        <v>15</v>
      </c>
      <c r="U89">
        <v>5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7044</v>
      </c>
      <c r="B90" t="s">
        <v>28</v>
      </c>
      <c r="C90" t="s">
        <v>71</v>
      </c>
      <c r="D90" s="1">
        <v>46153</v>
      </c>
      <c r="E90">
        <v>24</v>
      </c>
      <c r="F90">
        <v>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5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10</v>
      </c>
      <c r="U90">
        <v>5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6908</v>
      </c>
      <c r="B91" t="s">
        <v>28</v>
      </c>
      <c r="C91" t="s">
        <v>72</v>
      </c>
      <c r="D91" s="1">
        <v>46153</v>
      </c>
      <c r="E91">
        <v>24</v>
      </c>
      <c r="F91">
        <v>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10</v>
      </c>
      <c r="P91">
        <v>0</v>
      </c>
      <c r="Q91">
        <v>0</v>
      </c>
      <c r="R91">
        <v>0</v>
      </c>
      <c r="S91">
        <v>0</v>
      </c>
      <c r="T91">
        <v>35</v>
      </c>
      <c r="U91">
        <v>10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7027</v>
      </c>
      <c r="B92" t="s">
        <v>28</v>
      </c>
      <c r="C92" t="s">
        <v>78</v>
      </c>
      <c r="D92" s="1">
        <v>46153</v>
      </c>
      <c r="E92">
        <v>2</v>
      </c>
      <c r="F92">
        <v>5</v>
      </c>
      <c r="G92">
        <v>0</v>
      </c>
      <c r="H92">
        <v>0</v>
      </c>
      <c r="I92">
        <v>0</v>
      </c>
      <c r="J92">
        <v>0</v>
      </c>
      <c r="K92">
        <v>0</v>
      </c>
      <c r="L92">
        <v>15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15</v>
      </c>
      <c r="U92">
        <v>10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7030</v>
      </c>
      <c r="B93" t="s">
        <v>28</v>
      </c>
      <c r="C93" t="s">
        <v>87</v>
      </c>
      <c r="D93" s="1">
        <v>46153</v>
      </c>
      <c r="E93">
        <v>3</v>
      </c>
      <c r="F93">
        <v>3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35</v>
      </c>
      <c r="N93">
        <v>0</v>
      </c>
      <c r="O93">
        <v>0</v>
      </c>
      <c r="P93">
        <v>3</v>
      </c>
      <c r="Q93">
        <v>0</v>
      </c>
      <c r="R93">
        <v>0</v>
      </c>
      <c r="S93">
        <v>0</v>
      </c>
      <c r="T93">
        <v>10</v>
      </c>
      <c r="U93">
        <v>9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7048</v>
      </c>
      <c r="B94" t="s">
        <v>28</v>
      </c>
      <c r="C94" t="s">
        <v>94</v>
      </c>
      <c r="D94" s="1">
        <v>46153</v>
      </c>
      <c r="E94">
        <v>30</v>
      </c>
      <c r="F94">
        <v>3</v>
      </c>
      <c r="G94">
        <v>0</v>
      </c>
      <c r="H94">
        <v>2</v>
      </c>
      <c r="I94">
        <v>0</v>
      </c>
      <c r="J94">
        <v>0</v>
      </c>
      <c r="K94">
        <v>5</v>
      </c>
      <c r="L94">
        <v>0</v>
      </c>
      <c r="M94">
        <v>0</v>
      </c>
      <c r="N94">
        <v>0</v>
      </c>
      <c r="O94">
        <v>0</v>
      </c>
      <c r="P94">
        <v>5</v>
      </c>
      <c r="Q94">
        <v>0</v>
      </c>
      <c r="R94">
        <v>0</v>
      </c>
      <c r="S94">
        <v>0</v>
      </c>
      <c r="T94">
        <v>0</v>
      </c>
      <c r="U94">
        <v>5</v>
      </c>
      <c r="V94">
        <v>0</v>
      </c>
      <c r="W94">
        <v>0</v>
      </c>
      <c r="X94">
        <v>0</v>
      </c>
      <c r="Y94">
        <v>0</v>
      </c>
    </row>
    <row r="95" spans="1:25" x14ac:dyDescent="0.3">
      <c r="A95">
        <v>7033</v>
      </c>
      <c r="B95" t="s">
        <v>28</v>
      </c>
      <c r="C95" t="s">
        <v>99</v>
      </c>
      <c r="D95" s="1">
        <v>46153</v>
      </c>
      <c r="E95">
        <v>48</v>
      </c>
      <c r="F95">
        <v>3</v>
      </c>
      <c r="G95">
        <v>2</v>
      </c>
      <c r="H95">
        <v>0</v>
      </c>
      <c r="I95">
        <v>0</v>
      </c>
      <c r="J95">
        <v>3</v>
      </c>
      <c r="K95">
        <v>0</v>
      </c>
      <c r="L95">
        <v>0</v>
      </c>
      <c r="M95">
        <v>10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8</v>
      </c>
      <c r="U95">
        <v>4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7035</v>
      </c>
      <c r="B96" t="s">
        <v>28</v>
      </c>
      <c r="C96" t="s">
        <v>100</v>
      </c>
      <c r="D96" s="1">
        <v>46153</v>
      </c>
      <c r="E96">
        <v>24</v>
      </c>
      <c r="F96">
        <v>3</v>
      </c>
      <c r="G96">
        <v>2</v>
      </c>
      <c r="H96">
        <v>0</v>
      </c>
      <c r="I96">
        <v>0</v>
      </c>
      <c r="J96">
        <v>3</v>
      </c>
      <c r="K96">
        <v>0</v>
      </c>
      <c r="L96">
        <v>0</v>
      </c>
      <c r="M96">
        <v>0</v>
      </c>
      <c r="N96">
        <v>0</v>
      </c>
      <c r="O96">
        <v>0</v>
      </c>
      <c r="P96">
        <v>5</v>
      </c>
      <c r="Q96">
        <v>0</v>
      </c>
      <c r="R96">
        <v>0</v>
      </c>
      <c r="S96">
        <v>0</v>
      </c>
      <c r="T96">
        <v>10</v>
      </c>
      <c r="U96">
        <v>5</v>
      </c>
      <c r="V96">
        <v>0</v>
      </c>
      <c r="W96">
        <v>0</v>
      </c>
      <c r="X96">
        <v>0</v>
      </c>
      <c r="Y96">
        <v>0</v>
      </c>
    </row>
    <row r="97" spans="1:25" x14ac:dyDescent="0.3">
      <c r="A97">
        <v>7036</v>
      </c>
      <c r="B97" t="s">
        <v>28</v>
      </c>
      <c r="C97" t="s">
        <v>111</v>
      </c>
      <c r="D97" s="1">
        <v>46153</v>
      </c>
      <c r="E97">
        <v>6</v>
      </c>
      <c r="F97">
        <v>2</v>
      </c>
      <c r="G97">
        <v>0</v>
      </c>
      <c r="H97">
        <v>0</v>
      </c>
      <c r="I97">
        <v>0</v>
      </c>
      <c r="J97">
        <v>0</v>
      </c>
      <c r="K97">
        <v>10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3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7043</v>
      </c>
      <c r="B98" t="s">
        <v>28</v>
      </c>
      <c r="C98" t="s">
        <v>115</v>
      </c>
      <c r="D98" s="1">
        <v>46153</v>
      </c>
      <c r="E98">
        <v>3</v>
      </c>
      <c r="F98">
        <v>2</v>
      </c>
      <c r="G98">
        <v>0</v>
      </c>
      <c r="H98">
        <v>0</v>
      </c>
      <c r="I98">
        <v>0</v>
      </c>
      <c r="J98">
        <v>0</v>
      </c>
      <c r="K98">
        <v>10</v>
      </c>
      <c r="L98">
        <v>0</v>
      </c>
      <c r="M98">
        <v>0</v>
      </c>
      <c r="N98">
        <v>0</v>
      </c>
      <c r="O98">
        <v>0</v>
      </c>
      <c r="P98">
        <v>10</v>
      </c>
      <c r="Q98">
        <v>0</v>
      </c>
      <c r="R98">
        <v>0</v>
      </c>
      <c r="S98">
        <v>0</v>
      </c>
      <c r="T98">
        <v>0</v>
      </c>
      <c r="U98">
        <v>5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7034</v>
      </c>
      <c r="B99" t="s">
        <v>28</v>
      </c>
      <c r="C99" t="s">
        <v>108</v>
      </c>
      <c r="D99" s="1">
        <v>46153</v>
      </c>
      <c r="E99">
        <v>24</v>
      </c>
      <c r="F99">
        <v>2</v>
      </c>
      <c r="G99">
        <v>3</v>
      </c>
      <c r="H99">
        <v>0</v>
      </c>
      <c r="I99">
        <v>0</v>
      </c>
      <c r="J99">
        <v>5</v>
      </c>
      <c r="K99">
        <v>0</v>
      </c>
      <c r="L99">
        <v>0</v>
      </c>
      <c r="M99">
        <v>5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10</v>
      </c>
      <c r="U99">
        <v>5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7047</v>
      </c>
      <c r="B100" t="s">
        <v>28</v>
      </c>
      <c r="C100" t="s">
        <v>141</v>
      </c>
      <c r="D100" s="1">
        <v>46153</v>
      </c>
      <c r="E100">
        <v>24</v>
      </c>
      <c r="F100">
        <v>0</v>
      </c>
      <c r="G100">
        <v>0</v>
      </c>
      <c r="H100">
        <v>10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5</v>
      </c>
      <c r="Q100">
        <v>0</v>
      </c>
      <c r="R100">
        <v>0</v>
      </c>
      <c r="S100">
        <v>0</v>
      </c>
      <c r="T100">
        <v>0</v>
      </c>
      <c r="U100">
        <v>5</v>
      </c>
      <c r="V100">
        <v>5</v>
      </c>
      <c r="W100">
        <v>0</v>
      </c>
      <c r="X100">
        <v>0</v>
      </c>
      <c r="Y100">
        <v>0</v>
      </c>
    </row>
    <row r="101" spans="1:25" x14ac:dyDescent="0.3">
      <c r="A101">
        <v>7045</v>
      </c>
      <c r="B101" t="s">
        <v>28</v>
      </c>
      <c r="C101" t="s">
        <v>146</v>
      </c>
      <c r="D101" s="1">
        <v>46153</v>
      </c>
      <c r="E101">
        <v>24</v>
      </c>
      <c r="F101">
        <v>0</v>
      </c>
      <c r="G101">
        <v>0</v>
      </c>
      <c r="H101">
        <v>10</v>
      </c>
      <c r="I101">
        <v>0</v>
      </c>
      <c r="J101">
        <v>10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20</v>
      </c>
      <c r="U101">
        <v>10</v>
      </c>
      <c r="V101">
        <v>0</v>
      </c>
      <c r="W101">
        <v>0</v>
      </c>
      <c r="X101">
        <v>5</v>
      </c>
      <c r="Y101">
        <v>0</v>
      </c>
    </row>
    <row r="102" spans="1:25" x14ac:dyDescent="0.3">
      <c r="A102">
        <v>7046</v>
      </c>
      <c r="B102" t="s">
        <v>28</v>
      </c>
      <c r="C102" t="s">
        <v>147</v>
      </c>
      <c r="D102" s="1">
        <v>46153</v>
      </c>
      <c r="E102">
        <v>24</v>
      </c>
      <c r="F102">
        <v>0</v>
      </c>
      <c r="G102">
        <v>0</v>
      </c>
      <c r="H102">
        <v>10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5</v>
      </c>
      <c r="Q102">
        <v>0</v>
      </c>
      <c r="R102">
        <v>0</v>
      </c>
      <c r="S102">
        <v>0</v>
      </c>
      <c r="T102">
        <v>0</v>
      </c>
      <c r="U102">
        <v>5</v>
      </c>
      <c r="V102">
        <v>5</v>
      </c>
      <c r="W102">
        <v>0</v>
      </c>
      <c r="X102">
        <v>0</v>
      </c>
      <c r="Y102">
        <v>0</v>
      </c>
    </row>
    <row r="103" spans="1:25" x14ac:dyDescent="0.3">
      <c r="A103">
        <v>7040</v>
      </c>
      <c r="B103" t="s">
        <v>28</v>
      </c>
      <c r="C103" s="3">
        <v>13546688</v>
      </c>
      <c r="D103" s="1">
        <v>46153</v>
      </c>
      <c r="E103">
        <v>2</v>
      </c>
      <c r="F103">
        <v>0</v>
      </c>
      <c r="G103">
        <v>0</v>
      </c>
      <c r="H103">
        <v>2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0</v>
      </c>
      <c r="X103">
        <v>0</v>
      </c>
      <c r="Y103">
        <v>0</v>
      </c>
    </row>
    <row r="104" spans="1:25" x14ac:dyDescent="0.3">
      <c r="A104">
        <v>6994</v>
      </c>
      <c r="B104" t="s">
        <v>28</v>
      </c>
      <c r="C104" s="3">
        <v>14892502</v>
      </c>
      <c r="D104" s="1">
        <v>46153</v>
      </c>
      <c r="E104">
        <v>3</v>
      </c>
      <c r="F104">
        <f>'[2]Tempo de fabricação'!B219</f>
        <v>0</v>
      </c>
      <c r="G104">
        <f>'[2]Tempo de fabricação'!B224</f>
        <v>0</v>
      </c>
      <c r="H104">
        <v>5</v>
      </c>
      <c r="I104">
        <f>'[2]Tempo de fabricação'!F218</f>
        <v>0</v>
      </c>
      <c r="J104">
        <f>'[2]Tempo de fabricação'!B227</f>
        <v>0</v>
      </c>
      <c r="K104">
        <f>'[2]Tempo de fabricação'!B228</f>
        <v>0</v>
      </c>
      <c r="L104">
        <f>'[2]Tempo de fabricação'!B230</f>
        <v>0</v>
      </c>
      <c r="M104">
        <f>'[2]Tempo de fabricação'!B229</f>
        <v>0</v>
      </c>
      <c r="N104">
        <f>'[2]Tempo de fabricação'!B235</f>
        <v>0</v>
      </c>
      <c r="O104">
        <f>'[2]Tempo de fabricação'!B232</f>
        <v>0</v>
      </c>
      <c r="P104">
        <f>'[2]Tempo de fabricação'!B231</f>
        <v>0</v>
      </c>
      <c r="Q104">
        <f>'[2]Tempo de fabricação'!B233</f>
        <v>0</v>
      </c>
      <c r="R104">
        <f>'[2]Tempo de fabricação'!B251</f>
        <v>0</v>
      </c>
      <c r="S104">
        <f>'[2]Tempo de fabricação'!B234</f>
        <v>0</v>
      </c>
      <c r="T104">
        <v>6</v>
      </c>
      <c r="U104">
        <f>'[2]Tempo de fabricação'!B244</f>
        <v>0</v>
      </c>
      <c r="V104">
        <f>'[2]Tempo de fabricação'!B245</f>
        <v>0</v>
      </c>
      <c r="W104">
        <f>'[2]Tempo de fabricação'!B246</f>
        <v>0</v>
      </c>
      <c r="X104">
        <f>'[2]Tempo de fabricação'!B247</f>
        <v>0</v>
      </c>
      <c r="Y104">
        <f>SUM('[2]Tempo de fabricação'!B252:B253)</f>
        <v>0</v>
      </c>
    </row>
    <row r="105" spans="1:25" x14ac:dyDescent="0.3">
      <c r="A105">
        <v>6829</v>
      </c>
      <c r="B105" t="s">
        <v>30</v>
      </c>
      <c r="C105" t="s">
        <v>31</v>
      </c>
      <c r="D105" s="1">
        <v>46154</v>
      </c>
      <c r="E105">
        <v>6</v>
      </c>
      <c r="F105">
        <v>15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10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15</v>
      </c>
      <c r="U105">
        <v>10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6890</v>
      </c>
      <c r="B106" t="s">
        <v>30</v>
      </c>
      <c r="C106" t="s">
        <v>52</v>
      </c>
      <c r="D106" s="1">
        <v>46155</v>
      </c>
      <c r="E106">
        <v>20</v>
      </c>
      <c r="F106">
        <v>10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10</v>
      </c>
      <c r="N106">
        <v>0</v>
      </c>
      <c r="O106">
        <v>0</v>
      </c>
      <c r="P106">
        <v>5</v>
      </c>
      <c r="Q106">
        <v>0</v>
      </c>
      <c r="R106">
        <v>0</v>
      </c>
      <c r="S106">
        <v>0</v>
      </c>
      <c r="T106">
        <v>10</v>
      </c>
      <c r="U106">
        <v>5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6990</v>
      </c>
      <c r="B107" t="s">
        <v>28</v>
      </c>
      <c r="C107" t="s">
        <v>60</v>
      </c>
      <c r="D107" s="1">
        <v>46155</v>
      </c>
      <c r="E107">
        <v>18</v>
      </c>
      <c r="F107">
        <v>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25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5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7042</v>
      </c>
      <c r="B108" t="s">
        <v>28</v>
      </c>
      <c r="C108" t="s">
        <v>129</v>
      </c>
      <c r="D108" s="1">
        <v>46155</v>
      </c>
      <c r="E108">
        <v>15</v>
      </c>
      <c r="F108">
        <v>0.5</v>
      </c>
      <c r="G108">
        <v>0</v>
      </c>
      <c r="H108">
        <v>0</v>
      </c>
      <c r="I108">
        <v>0</v>
      </c>
      <c r="J108">
        <v>0</v>
      </c>
      <c r="K108">
        <v>10</v>
      </c>
      <c r="L108">
        <v>0</v>
      </c>
      <c r="M108">
        <v>0</v>
      </c>
      <c r="N108">
        <v>0</v>
      </c>
      <c r="O108">
        <v>0</v>
      </c>
      <c r="P108">
        <v>5</v>
      </c>
      <c r="Q108">
        <v>0</v>
      </c>
      <c r="R108">
        <v>0</v>
      </c>
      <c r="S108">
        <v>0</v>
      </c>
      <c r="T108">
        <v>0</v>
      </c>
      <c r="U108">
        <v>5</v>
      </c>
      <c r="V108">
        <v>0</v>
      </c>
      <c r="W108">
        <v>0</v>
      </c>
      <c r="X108">
        <v>0</v>
      </c>
      <c r="Y108">
        <v>0</v>
      </c>
    </row>
    <row r="109" spans="1:25" x14ac:dyDescent="0.3">
      <c r="A109">
        <v>6886</v>
      </c>
      <c r="B109" t="s">
        <v>30</v>
      </c>
      <c r="C109" t="s">
        <v>143</v>
      </c>
      <c r="D109" s="1">
        <v>46155</v>
      </c>
      <c r="E109">
        <v>2</v>
      </c>
      <c r="F109">
        <v>0</v>
      </c>
      <c r="G109">
        <v>0</v>
      </c>
      <c r="H109">
        <v>4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7020</v>
      </c>
      <c r="B110" t="s">
        <v>30</v>
      </c>
      <c r="C110" t="s">
        <v>149</v>
      </c>
      <c r="D110" s="1">
        <v>46155</v>
      </c>
      <c r="E110">
        <v>1</v>
      </c>
      <c r="F110">
        <f>'[3]Tempo de fabricação'!B214</f>
        <v>0</v>
      </c>
      <c r="G110">
        <f>'[3]Tempo de fabricação'!B219</f>
        <v>0</v>
      </c>
      <c r="H110">
        <v>4</v>
      </c>
      <c r="I110">
        <f>'[3]Tempo de fabricação'!F213</f>
        <v>0</v>
      </c>
      <c r="J110">
        <f>'[3]Tempo de fabricação'!B222</f>
        <v>0</v>
      </c>
      <c r="K110">
        <f>'[3]Tempo de fabricação'!B223</f>
        <v>0</v>
      </c>
      <c r="L110">
        <f>'[3]Tempo de fabricação'!B225</f>
        <v>0</v>
      </c>
      <c r="M110">
        <f>'[3]Tempo de fabricação'!B224</f>
        <v>0</v>
      </c>
      <c r="N110">
        <f>'[3]Tempo de fabricação'!B230</f>
        <v>0</v>
      </c>
      <c r="O110">
        <f>'[3]Tempo de fabricação'!B227</f>
        <v>0</v>
      </c>
      <c r="P110">
        <f>'[3]Tempo de fabricação'!B226</f>
        <v>0</v>
      </c>
      <c r="Q110">
        <f>'[3]Tempo de fabricação'!B228</f>
        <v>0</v>
      </c>
      <c r="R110">
        <f>'[3]Tempo de fabricação'!B246</f>
        <v>0</v>
      </c>
      <c r="S110">
        <f>'[3]Tempo de fabricação'!B229</f>
        <v>0</v>
      </c>
      <c r="T110">
        <f>SUM('[3]Tempo de fabricação'!B234:B238)</f>
        <v>0</v>
      </c>
      <c r="U110">
        <f>'[3]Tempo de fabricação'!B239</f>
        <v>0</v>
      </c>
      <c r="V110">
        <f>'[3]Tempo de fabricação'!B240</f>
        <v>0</v>
      </c>
      <c r="W110">
        <f>'[3]Tempo de fabricação'!B241</f>
        <v>0</v>
      </c>
      <c r="X110">
        <f>'[3]Tempo de fabricação'!B242</f>
        <v>0</v>
      </c>
      <c r="Y110">
        <f>SUM('[3]Tempo de fabricação'!B247:B248)</f>
        <v>0</v>
      </c>
    </row>
    <row r="111" spans="1:25" x14ac:dyDescent="0.3">
      <c r="A111">
        <v>6769</v>
      </c>
      <c r="B111" t="s">
        <v>30</v>
      </c>
      <c r="C111" t="s">
        <v>102</v>
      </c>
      <c r="D111" s="1">
        <v>46156</v>
      </c>
      <c r="E111">
        <v>15</v>
      </c>
      <c r="F111">
        <v>3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8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7067</v>
      </c>
      <c r="B112" t="s">
        <v>28</v>
      </c>
      <c r="C112" t="s">
        <v>29</v>
      </c>
      <c r="D112" s="1">
        <v>46160</v>
      </c>
      <c r="E112">
        <v>3</v>
      </c>
      <c r="F112">
        <v>45</v>
      </c>
      <c r="G112">
        <v>0</v>
      </c>
      <c r="H112">
        <v>0</v>
      </c>
      <c r="I112">
        <v>0</v>
      </c>
      <c r="J112">
        <v>80</v>
      </c>
      <c r="K112">
        <v>0</v>
      </c>
      <c r="L112">
        <v>90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60</v>
      </c>
      <c r="U112">
        <v>30</v>
      </c>
      <c r="V112">
        <v>0</v>
      </c>
      <c r="W112">
        <v>0</v>
      </c>
      <c r="X112">
        <v>30</v>
      </c>
      <c r="Y112">
        <v>0</v>
      </c>
    </row>
    <row r="113" spans="1:25" x14ac:dyDescent="0.3">
      <c r="A113">
        <v>7092</v>
      </c>
      <c r="B113" t="s">
        <v>28</v>
      </c>
      <c r="C113" t="s">
        <v>29</v>
      </c>
      <c r="D113" s="1">
        <v>46160</v>
      </c>
      <c r="E113">
        <v>1</v>
      </c>
      <c r="F113">
        <v>45</v>
      </c>
      <c r="G113">
        <v>0</v>
      </c>
      <c r="H113">
        <v>0</v>
      </c>
      <c r="I113">
        <v>0</v>
      </c>
      <c r="J113">
        <v>80</v>
      </c>
      <c r="K113">
        <v>0</v>
      </c>
      <c r="L113">
        <v>90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60</v>
      </c>
      <c r="U113">
        <v>30</v>
      </c>
      <c r="V113">
        <v>0</v>
      </c>
      <c r="W113">
        <v>0</v>
      </c>
      <c r="X113">
        <v>30</v>
      </c>
      <c r="Y113">
        <v>0</v>
      </c>
    </row>
    <row r="114" spans="1:25" x14ac:dyDescent="0.3">
      <c r="A114">
        <v>7068</v>
      </c>
      <c r="B114" t="s">
        <v>28</v>
      </c>
      <c r="C114" t="s">
        <v>35</v>
      </c>
      <c r="D114" s="1">
        <v>46160</v>
      </c>
      <c r="E114">
        <v>3</v>
      </c>
      <c r="F114">
        <v>15</v>
      </c>
      <c r="G114">
        <v>0</v>
      </c>
      <c r="H114">
        <v>0</v>
      </c>
      <c r="I114">
        <v>0</v>
      </c>
      <c r="J114">
        <v>10</v>
      </c>
      <c r="K114">
        <v>0</v>
      </c>
      <c r="L114">
        <v>75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75</v>
      </c>
      <c r="U114">
        <v>45</v>
      </c>
      <c r="V114">
        <v>0</v>
      </c>
      <c r="W114">
        <v>0</v>
      </c>
      <c r="X114">
        <v>15</v>
      </c>
      <c r="Y114">
        <v>0</v>
      </c>
    </row>
    <row r="115" spans="1:25" x14ac:dyDescent="0.3">
      <c r="A115">
        <v>7093</v>
      </c>
      <c r="B115" t="s">
        <v>28</v>
      </c>
      <c r="C115" t="s">
        <v>35</v>
      </c>
      <c r="D115" s="1">
        <v>46160</v>
      </c>
      <c r="E115">
        <v>1</v>
      </c>
      <c r="F115">
        <v>15</v>
      </c>
      <c r="G115">
        <v>0</v>
      </c>
      <c r="H115">
        <v>0</v>
      </c>
      <c r="I115">
        <v>0</v>
      </c>
      <c r="J115">
        <v>10</v>
      </c>
      <c r="K115">
        <v>0</v>
      </c>
      <c r="L115">
        <v>75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75</v>
      </c>
      <c r="U115">
        <v>45</v>
      </c>
      <c r="V115">
        <v>0</v>
      </c>
      <c r="W115">
        <v>0</v>
      </c>
      <c r="X115">
        <v>15</v>
      </c>
      <c r="Y115">
        <v>0</v>
      </c>
    </row>
    <row r="116" spans="1:25" x14ac:dyDescent="0.3">
      <c r="A116">
        <v>7071</v>
      </c>
      <c r="B116" t="s">
        <v>28</v>
      </c>
      <c r="C116" t="s">
        <v>51</v>
      </c>
      <c r="D116" s="1">
        <v>46160</v>
      </c>
      <c r="E116">
        <v>12</v>
      </c>
      <c r="F116">
        <v>10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60</v>
      </c>
      <c r="U116">
        <v>20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7031</v>
      </c>
      <c r="B117" t="s">
        <v>28</v>
      </c>
      <c r="C117" t="s">
        <v>73</v>
      </c>
      <c r="D117" s="1">
        <v>46160</v>
      </c>
      <c r="E117">
        <v>3</v>
      </c>
      <c r="F117">
        <v>5</v>
      </c>
      <c r="G117">
        <v>0</v>
      </c>
      <c r="H117">
        <v>0</v>
      </c>
      <c r="I117">
        <v>0</v>
      </c>
      <c r="J117">
        <v>30</v>
      </c>
      <c r="K117">
        <v>0</v>
      </c>
      <c r="L117">
        <v>0</v>
      </c>
      <c r="M117">
        <v>20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10</v>
      </c>
      <c r="V117">
        <v>0</v>
      </c>
      <c r="W117">
        <v>0</v>
      </c>
      <c r="X117">
        <v>0</v>
      </c>
      <c r="Y117">
        <v>0</v>
      </c>
    </row>
    <row r="118" spans="1:25" x14ac:dyDescent="0.3">
      <c r="A118">
        <v>7091</v>
      </c>
      <c r="B118" t="s">
        <v>28</v>
      </c>
      <c r="C118" t="s">
        <v>73</v>
      </c>
      <c r="D118" s="1">
        <v>46160</v>
      </c>
      <c r="E118">
        <v>1</v>
      </c>
      <c r="F118">
        <v>5</v>
      </c>
      <c r="G118">
        <v>0</v>
      </c>
      <c r="H118">
        <v>0</v>
      </c>
      <c r="I118">
        <v>0</v>
      </c>
      <c r="J118">
        <v>30</v>
      </c>
      <c r="K118">
        <v>0</v>
      </c>
      <c r="L118">
        <v>0</v>
      </c>
      <c r="M118">
        <v>20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6880</v>
      </c>
      <c r="B119" t="s">
        <v>30</v>
      </c>
      <c r="C119" t="s">
        <v>82</v>
      </c>
      <c r="D119" s="1">
        <v>46160</v>
      </c>
      <c r="E119">
        <v>1</v>
      </c>
      <c r="F119">
        <v>3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2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7041</v>
      </c>
      <c r="B120" t="s">
        <v>28</v>
      </c>
      <c r="C120" t="s">
        <v>86</v>
      </c>
      <c r="D120" s="1">
        <v>46160</v>
      </c>
      <c r="E120">
        <v>150</v>
      </c>
      <c r="F120">
        <v>3</v>
      </c>
      <c r="G120">
        <v>0</v>
      </c>
      <c r="H120">
        <v>2</v>
      </c>
      <c r="I120">
        <v>0</v>
      </c>
      <c r="J120">
        <v>0</v>
      </c>
      <c r="K120">
        <v>0</v>
      </c>
      <c r="L120">
        <v>0</v>
      </c>
      <c r="M120">
        <v>5</v>
      </c>
      <c r="N120">
        <v>0</v>
      </c>
      <c r="O120">
        <v>0</v>
      </c>
      <c r="P120">
        <v>10</v>
      </c>
      <c r="Q120">
        <v>0</v>
      </c>
      <c r="R120">
        <v>0</v>
      </c>
      <c r="S120">
        <v>0</v>
      </c>
      <c r="T120">
        <v>5</v>
      </c>
      <c r="U120">
        <v>5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7077</v>
      </c>
      <c r="B121" t="s">
        <v>28</v>
      </c>
      <c r="C121" t="s">
        <v>93</v>
      </c>
      <c r="D121" s="1">
        <v>46160</v>
      </c>
      <c r="E121">
        <v>12</v>
      </c>
      <c r="F121">
        <v>3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7</v>
      </c>
      <c r="N121">
        <v>10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5</v>
      </c>
      <c r="V121">
        <v>0</v>
      </c>
      <c r="W121">
        <v>0</v>
      </c>
      <c r="X121">
        <v>0</v>
      </c>
      <c r="Y121">
        <v>0</v>
      </c>
    </row>
    <row r="122" spans="1:25" x14ac:dyDescent="0.3">
      <c r="A122">
        <v>7076</v>
      </c>
      <c r="B122" t="s">
        <v>28</v>
      </c>
      <c r="C122" t="s">
        <v>106</v>
      </c>
      <c r="D122" s="1">
        <v>46160</v>
      </c>
      <c r="E122">
        <v>12</v>
      </c>
      <c r="F122">
        <v>2</v>
      </c>
      <c r="G122">
        <v>0</v>
      </c>
      <c r="H122">
        <v>5</v>
      </c>
      <c r="I122">
        <v>0</v>
      </c>
      <c r="J122">
        <v>8</v>
      </c>
      <c r="K122">
        <v>0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5</v>
      </c>
      <c r="U122">
        <v>5</v>
      </c>
      <c r="V122">
        <v>0</v>
      </c>
      <c r="W122">
        <v>0</v>
      </c>
      <c r="X122">
        <v>0</v>
      </c>
      <c r="Y122">
        <v>0</v>
      </c>
    </row>
    <row r="123" spans="1:25" x14ac:dyDescent="0.3">
      <c r="A123">
        <v>7037</v>
      </c>
      <c r="B123" t="s">
        <v>28</v>
      </c>
      <c r="C123" t="s">
        <v>127</v>
      </c>
      <c r="D123" s="1">
        <v>46160</v>
      </c>
      <c r="E123">
        <v>24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5</v>
      </c>
      <c r="M123">
        <v>0</v>
      </c>
      <c r="N123">
        <v>0</v>
      </c>
      <c r="O123">
        <v>0</v>
      </c>
      <c r="P123">
        <v>4</v>
      </c>
      <c r="Q123">
        <v>0</v>
      </c>
      <c r="R123">
        <v>0</v>
      </c>
      <c r="S123">
        <v>0</v>
      </c>
      <c r="T123">
        <v>0</v>
      </c>
      <c r="U123">
        <v>2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7075</v>
      </c>
      <c r="B124" t="s">
        <v>28</v>
      </c>
      <c r="C124" t="s">
        <v>139</v>
      </c>
      <c r="D124" s="1">
        <v>46160</v>
      </c>
      <c r="E124">
        <v>12</v>
      </c>
      <c r="F124">
        <v>0</v>
      </c>
      <c r="G124">
        <v>0</v>
      </c>
      <c r="H124">
        <v>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3</v>
      </c>
      <c r="Q124">
        <v>0</v>
      </c>
      <c r="R124">
        <v>0</v>
      </c>
      <c r="S124">
        <v>0</v>
      </c>
      <c r="T124">
        <v>12</v>
      </c>
      <c r="U124">
        <v>3</v>
      </c>
      <c r="V124">
        <v>0</v>
      </c>
      <c r="W124">
        <v>0</v>
      </c>
      <c r="X124">
        <v>0</v>
      </c>
      <c r="Y124">
        <v>0</v>
      </c>
    </row>
    <row r="125" spans="1:25" x14ac:dyDescent="0.3">
      <c r="A125">
        <v>7039</v>
      </c>
      <c r="B125" t="s">
        <v>28</v>
      </c>
      <c r="C125" s="3">
        <v>13541755</v>
      </c>
      <c r="D125" s="1">
        <v>46160</v>
      </c>
      <c r="E125">
        <v>3</v>
      </c>
      <c r="F125">
        <v>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15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2</v>
      </c>
      <c r="U125">
        <v>10</v>
      </c>
      <c r="V125">
        <v>0</v>
      </c>
      <c r="W125">
        <v>0</v>
      </c>
      <c r="X125">
        <v>0</v>
      </c>
      <c r="Y125">
        <v>0</v>
      </c>
    </row>
    <row r="126" spans="1:25" x14ac:dyDescent="0.3">
      <c r="A126">
        <v>7069</v>
      </c>
      <c r="B126" t="s">
        <v>28</v>
      </c>
      <c r="C126" s="3">
        <v>15543956</v>
      </c>
      <c r="D126" s="1">
        <v>46160</v>
      </c>
      <c r="E126">
        <v>3</v>
      </c>
      <c r="F126">
        <v>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12</v>
      </c>
      <c r="M126">
        <v>0</v>
      </c>
      <c r="N126">
        <v>0</v>
      </c>
      <c r="O126">
        <v>0</v>
      </c>
      <c r="P126">
        <v>0</v>
      </c>
      <c r="Q126">
        <v>6</v>
      </c>
      <c r="R126">
        <v>0</v>
      </c>
      <c r="S126">
        <v>0</v>
      </c>
      <c r="T126">
        <v>10</v>
      </c>
      <c r="U126">
        <v>10</v>
      </c>
      <c r="V126">
        <v>0</v>
      </c>
      <c r="W126">
        <v>0</v>
      </c>
      <c r="X126">
        <v>0</v>
      </c>
      <c r="Y126">
        <v>0</v>
      </c>
    </row>
    <row r="127" spans="1:25" x14ac:dyDescent="0.3">
      <c r="A127">
        <v>7070</v>
      </c>
      <c r="B127" t="s">
        <v>28</v>
      </c>
      <c r="C127" s="3">
        <v>15543949</v>
      </c>
      <c r="D127" s="1">
        <v>46160</v>
      </c>
      <c r="E127">
        <v>3</v>
      </c>
      <c r="F127">
        <v>10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15</v>
      </c>
      <c r="M127">
        <v>0</v>
      </c>
      <c r="N127">
        <v>0</v>
      </c>
      <c r="O127">
        <v>0</v>
      </c>
      <c r="P127">
        <v>0</v>
      </c>
      <c r="Q127">
        <v>5</v>
      </c>
      <c r="R127">
        <v>0</v>
      </c>
      <c r="S127">
        <v>0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0</v>
      </c>
    </row>
    <row r="128" spans="1:25" x14ac:dyDescent="0.3">
      <c r="A128">
        <v>6548</v>
      </c>
      <c r="B128" t="s">
        <v>25</v>
      </c>
      <c r="C128" t="s">
        <v>27</v>
      </c>
      <c r="D128" s="1">
        <v>46161</v>
      </c>
      <c r="E128">
        <v>1</v>
      </c>
      <c r="F128">
        <v>400</v>
      </c>
      <c r="G128">
        <v>680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30</v>
      </c>
      <c r="U128">
        <v>240</v>
      </c>
      <c r="V128">
        <v>0</v>
      </c>
      <c r="W128">
        <v>500</v>
      </c>
      <c r="X128">
        <v>0</v>
      </c>
      <c r="Y128">
        <v>0</v>
      </c>
    </row>
    <row r="129" spans="1:25" x14ac:dyDescent="0.3">
      <c r="A129">
        <v>6555</v>
      </c>
      <c r="B129" t="s">
        <v>25</v>
      </c>
      <c r="C129" t="s">
        <v>26</v>
      </c>
      <c r="D129" s="1">
        <v>46161</v>
      </c>
      <c r="E129">
        <v>1</v>
      </c>
      <c r="F129">
        <v>400</v>
      </c>
      <c r="G129">
        <v>680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30</v>
      </c>
      <c r="U129">
        <v>240</v>
      </c>
      <c r="V129">
        <v>0</v>
      </c>
      <c r="W129">
        <v>500</v>
      </c>
      <c r="X129">
        <v>0</v>
      </c>
      <c r="Y129">
        <v>0</v>
      </c>
    </row>
    <row r="130" spans="1:25" x14ac:dyDescent="0.3">
      <c r="A130">
        <v>7023</v>
      </c>
      <c r="B130" t="s">
        <v>30</v>
      </c>
      <c r="C130" t="s">
        <v>39</v>
      </c>
      <c r="D130" s="1">
        <v>46161</v>
      </c>
      <c r="E130">
        <v>4</v>
      </c>
      <c r="F130">
        <v>10</v>
      </c>
      <c r="G130">
        <v>0</v>
      </c>
      <c r="H130">
        <v>0</v>
      </c>
      <c r="I130">
        <v>0</v>
      </c>
      <c r="J130">
        <v>30</v>
      </c>
      <c r="K130">
        <v>0</v>
      </c>
      <c r="L130">
        <v>0</v>
      </c>
      <c r="M130">
        <v>60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25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6952</v>
      </c>
      <c r="B131" t="s">
        <v>30</v>
      </c>
      <c r="C131" t="s">
        <v>53</v>
      </c>
      <c r="D131" s="1">
        <v>46161</v>
      </c>
      <c r="E131">
        <v>28</v>
      </c>
      <c r="F131">
        <v>10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10</v>
      </c>
      <c r="N131">
        <v>0</v>
      </c>
      <c r="O131">
        <v>0</v>
      </c>
      <c r="P131">
        <v>5</v>
      </c>
      <c r="Q131">
        <v>0</v>
      </c>
      <c r="R131">
        <v>0</v>
      </c>
      <c r="S131">
        <v>0</v>
      </c>
      <c r="T131">
        <v>10</v>
      </c>
      <c r="U131">
        <v>5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6881</v>
      </c>
      <c r="B132" t="s">
        <v>30</v>
      </c>
      <c r="C132" t="s">
        <v>124</v>
      </c>
      <c r="D132" s="1">
        <v>46161</v>
      </c>
      <c r="E132">
        <v>10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3</v>
      </c>
      <c r="N132">
        <v>0</v>
      </c>
      <c r="O132">
        <v>0</v>
      </c>
      <c r="P132">
        <v>3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0</v>
      </c>
      <c r="W132">
        <v>0</v>
      </c>
      <c r="X132">
        <v>0</v>
      </c>
      <c r="Y132">
        <v>0</v>
      </c>
    </row>
    <row r="133" spans="1:25" x14ac:dyDescent="0.3">
      <c r="A133">
        <v>7025</v>
      </c>
      <c r="B133" t="s">
        <v>30</v>
      </c>
      <c r="C133" t="s">
        <v>34</v>
      </c>
      <c r="D133" s="1">
        <v>46162</v>
      </c>
      <c r="E133">
        <v>17</v>
      </c>
      <c r="F133">
        <v>15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10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15</v>
      </c>
      <c r="U133">
        <v>10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7078</v>
      </c>
      <c r="B134" t="s">
        <v>28</v>
      </c>
      <c r="C134" t="s">
        <v>101</v>
      </c>
      <c r="D134" s="1">
        <v>46162</v>
      </c>
      <c r="E134">
        <v>12</v>
      </c>
      <c r="F134">
        <v>3</v>
      </c>
      <c r="G134">
        <v>0</v>
      </c>
      <c r="H134">
        <v>0</v>
      </c>
      <c r="I134">
        <v>0</v>
      </c>
      <c r="J134">
        <v>5</v>
      </c>
      <c r="K134">
        <v>0</v>
      </c>
      <c r="L134">
        <v>0</v>
      </c>
      <c r="M134">
        <v>5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10</v>
      </c>
      <c r="U134">
        <v>5</v>
      </c>
      <c r="V134">
        <v>0</v>
      </c>
      <c r="W134">
        <v>0</v>
      </c>
      <c r="X134">
        <v>0</v>
      </c>
      <c r="Y134">
        <v>0</v>
      </c>
    </row>
    <row r="135" spans="1:25" x14ac:dyDescent="0.3">
      <c r="A135">
        <v>6815</v>
      </c>
      <c r="B135" t="s">
        <v>30</v>
      </c>
      <c r="C135" t="s">
        <v>70</v>
      </c>
      <c r="D135" s="1">
        <v>46163</v>
      </c>
      <c r="E135">
        <v>1</v>
      </c>
      <c r="F135">
        <v>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10</v>
      </c>
      <c r="N135">
        <v>0</v>
      </c>
      <c r="O135">
        <v>0</v>
      </c>
      <c r="P135">
        <v>0</v>
      </c>
      <c r="Q135">
        <v>6</v>
      </c>
      <c r="R135">
        <v>0</v>
      </c>
      <c r="S135">
        <v>0</v>
      </c>
      <c r="T135">
        <v>10</v>
      </c>
      <c r="U135">
        <v>10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6882</v>
      </c>
      <c r="B136" t="s">
        <v>30</v>
      </c>
      <c r="C136" t="s">
        <v>104</v>
      </c>
      <c r="D136" s="1">
        <v>46165</v>
      </c>
      <c r="E136">
        <v>1</v>
      </c>
      <c r="F136">
        <v>2</v>
      </c>
      <c r="G136">
        <v>0</v>
      </c>
      <c r="H136">
        <v>0</v>
      </c>
      <c r="I136">
        <v>0</v>
      </c>
      <c r="J136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8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6960</v>
      </c>
      <c r="B137" t="s">
        <v>30</v>
      </c>
      <c r="C137" t="s">
        <v>104</v>
      </c>
      <c r="D137" s="1">
        <v>46165</v>
      </c>
      <c r="E137">
        <v>1</v>
      </c>
      <c r="F137">
        <v>2</v>
      </c>
      <c r="G137">
        <v>0</v>
      </c>
      <c r="H137">
        <v>0</v>
      </c>
      <c r="I137">
        <v>0</v>
      </c>
      <c r="J137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8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7073</v>
      </c>
      <c r="B138" t="s">
        <v>28</v>
      </c>
      <c r="C138" t="s">
        <v>38</v>
      </c>
      <c r="D138" s="1">
        <v>46167</v>
      </c>
      <c r="E138">
        <v>6</v>
      </c>
      <c r="F138">
        <v>15</v>
      </c>
      <c r="G138">
        <v>0</v>
      </c>
      <c r="H138">
        <v>0</v>
      </c>
      <c r="I138">
        <v>0</v>
      </c>
      <c r="J138">
        <v>30</v>
      </c>
      <c r="K138">
        <v>0</v>
      </c>
      <c r="L138">
        <v>60</v>
      </c>
      <c r="M138">
        <v>60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150</v>
      </c>
      <c r="U138">
        <v>60</v>
      </c>
      <c r="V138">
        <v>0</v>
      </c>
      <c r="W138">
        <v>0</v>
      </c>
      <c r="X138">
        <v>0</v>
      </c>
      <c r="Y138">
        <v>0</v>
      </c>
    </row>
    <row r="139" spans="1:25" x14ac:dyDescent="0.3">
      <c r="A139">
        <v>7072</v>
      </c>
      <c r="B139" t="s">
        <v>28</v>
      </c>
      <c r="C139" t="s">
        <v>54</v>
      </c>
      <c r="D139" s="1">
        <v>46167</v>
      </c>
      <c r="E139">
        <v>12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10</v>
      </c>
      <c r="P139">
        <v>0</v>
      </c>
      <c r="Q139">
        <v>0</v>
      </c>
      <c r="R139">
        <v>0</v>
      </c>
      <c r="S139">
        <v>0</v>
      </c>
      <c r="T139">
        <v>10</v>
      </c>
      <c r="U139">
        <v>5</v>
      </c>
      <c r="V139">
        <v>0</v>
      </c>
      <c r="W139">
        <v>0</v>
      </c>
      <c r="X139">
        <v>0</v>
      </c>
      <c r="Y139">
        <v>0</v>
      </c>
    </row>
    <row r="140" spans="1:25" x14ac:dyDescent="0.3">
      <c r="A140">
        <v>7082</v>
      </c>
      <c r="B140" t="s">
        <v>28</v>
      </c>
      <c r="C140" t="s">
        <v>56</v>
      </c>
      <c r="D140" s="1">
        <v>46167</v>
      </c>
      <c r="E140">
        <v>30</v>
      </c>
      <c r="F140">
        <v>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10</v>
      </c>
      <c r="M140">
        <v>10</v>
      </c>
      <c r="N140">
        <v>5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15</v>
      </c>
      <c r="U140">
        <v>5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7081</v>
      </c>
      <c r="B141" t="s">
        <v>28</v>
      </c>
      <c r="C141" t="s">
        <v>62</v>
      </c>
      <c r="D141" s="1">
        <v>46167</v>
      </c>
      <c r="E141">
        <v>30</v>
      </c>
      <c r="F141">
        <v>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10</v>
      </c>
      <c r="M141">
        <v>10</v>
      </c>
      <c r="N141">
        <v>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15</v>
      </c>
      <c r="U141">
        <v>5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7079</v>
      </c>
      <c r="B142" t="s">
        <v>28</v>
      </c>
      <c r="C142" t="s">
        <v>75</v>
      </c>
      <c r="D142" s="1">
        <v>46167</v>
      </c>
      <c r="E142">
        <v>60</v>
      </c>
      <c r="F142">
        <v>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15</v>
      </c>
      <c r="U142">
        <v>5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7080</v>
      </c>
      <c r="B143" t="s">
        <v>28</v>
      </c>
      <c r="C143" t="s">
        <v>79</v>
      </c>
      <c r="D143" s="1">
        <v>46167</v>
      </c>
      <c r="E143">
        <v>30</v>
      </c>
      <c r="F143">
        <v>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20</v>
      </c>
      <c r="N143">
        <v>15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15</v>
      </c>
      <c r="U143">
        <v>10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7089</v>
      </c>
      <c r="B144" t="s">
        <v>28</v>
      </c>
      <c r="C144" t="s">
        <v>86</v>
      </c>
      <c r="D144" s="1">
        <v>46167</v>
      </c>
      <c r="E144">
        <v>20</v>
      </c>
      <c r="F144">
        <v>3</v>
      </c>
      <c r="G144">
        <v>0</v>
      </c>
      <c r="H144">
        <v>2</v>
      </c>
      <c r="I144">
        <v>0</v>
      </c>
      <c r="J144">
        <v>0</v>
      </c>
      <c r="K144">
        <v>0</v>
      </c>
      <c r="L144">
        <v>0</v>
      </c>
      <c r="M144">
        <v>5</v>
      </c>
      <c r="N144">
        <v>0</v>
      </c>
      <c r="O144">
        <v>0</v>
      </c>
      <c r="P144">
        <v>10</v>
      </c>
      <c r="Q144">
        <v>0</v>
      </c>
      <c r="R144">
        <v>0</v>
      </c>
      <c r="S144">
        <v>0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6915</v>
      </c>
      <c r="B145" t="s">
        <v>28</v>
      </c>
      <c r="C145" t="s">
        <v>92</v>
      </c>
      <c r="D145" s="1">
        <v>46167</v>
      </c>
      <c r="E145">
        <v>12</v>
      </c>
      <c r="F145">
        <v>3</v>
      </c>
      <c r="G145">
        <v>0</v>
      </c>
      <c r="H145">
        <v>0</v>
      </c>
      <c r="I145">
        <v>0</v>
      </c>
      <c r="J145">
        <v>7</v>
      </c>
      <c r="K145">
        <v>0</v>
      </c>
      <c r="L145">
        <v>0</v>
      </c>
      <c r="M145">
        <v>30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5</v>
      </c>
      <c r="U145">
        <v>10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7095</v>
      </c>
      <c r="B146" t="s">
        <v>28</v>
      </c>
      <c r="C146" t="s">
        <v>93</v>
      </c>
      <c r="D146" s="1">
        <v>46167</v>
      </c>
      <c r="E146">
        <v>1</v>
      </c>
      <c r="F146">
        <v>3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7</v>
      </c>
      <c r="N146">
        <v>10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5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7083</v>
      </c>
      <c r="B147" t="s">
        <v>28</v>
      </c>
      <c r="C147" t="s">
        <v>120</v>
      </c>
      <c r="D147" s="1">
        <v>46167</v>
      </c>
      <c r="E147">
        <v>60</v>
      </c>
      <c r="F147">
        <v>2</v>
      </c>
      <c r="G147">
        <v>0</v>
      </c>
      <c r="H147">
        <v>3</v>
      </c>
      <c r="I147">
        <v>0</v>
      </c>
      <c r="J147">
        <v>0</v>
      </c>
      <c r="K147">
        <v>10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10</v>
      </c>
      <c r="U147">
        <v>5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7094</v>
      </c>
      <c r="B148" t="s">
        <v>28</v>
      </c>
      <c r="C148" t="s">
        <v>106</v>
      </c>
      <c r="D148" s="1">
        <v>46167</v>
      </c>
      <c r="E148">
        <v>1</v>
      </c>
      <c r="F148">
        <v>2</v>
      </c>
      <c r="G148">
        <v>0</v>
      </c>
      <c r="H148">
        <v>5</v>
      </c>
      <c r="I148">
        <v>0</v>
      </c>
      <c r="J148">
        <v>8</v>
      </c>
      <c r="K148">
        <v>0</v>
      </c>
      <c r="L148">
        <v>0</v>
      </c>
      <c r="M148">
        <v>2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6905</v>
      </c>
      <c r="B149" t="s">
        <v>28</v>
      </c>
      <c r="C149" t="s">
        <v>138</v>
      </c>
      <c r="D149" s="1">
        <v>46167</v>
      </c>
      <c r="E149">
        <v>12</v>
      </c>
      <c r="F149">
        <v>0</v>
      </c>
      <c r="G149">
        <v>15</v>
      </c>
      <c r="H149">
        <v>0</v>
      </c>
      <c r="I149">
        <v>0</v>
      </c>
      <c r="J149">
        <v>15</v>
      </c>
      <c r="K149">
        <v>0</v>
      </c>
      <c r="L149">
        <v>60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45</v>
      </c>
      <c r="U149">
        <v>15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6806</v>
      </c>
      <c r="B150" t="s">
        <v>30</v>
      </c>
      <c r="C150" t="s">
        <v>50</v>
      </c>
      <c r="D150" s="1">
        <v>46168</v>
      </c>
      <c r="E150">
        <v>3</v>
      </c>
      <c r="F150">
        <v>10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10</v>
      </c>
      <c r="N150">
        <v>0</v>
      </c>
      <c r="O150">
        <v>0</v>
      </c>
      <c r="P150">
        <v>5</v>
      </c>
      <c r="Q150">
        <v>0</v>
      </c>
      <c r="R150">
        <v>0</v>
      </c>
      <c r="S150">
        <v>0</v>
      </c>
      <c r="T150">
        <v>10</v>
      </c>
      <c r="U150">
        <v>5</v>
      </c>
      <c r="V150">
        <v>0</v>
      </c>
      <c r="W150">
        <v>0</v>
      </c>
      <c r="X150">
        <v>0</v>
      </c>
      <c r="Y150">
        <v>0</v>
      </c>
    </row>
    <row r="151" spans="1:25" x14ac:dyDescent="0.3">
      <c r="A151">
        <v>6892</v>
      </c>
      <c r="B151" t="s">
        <v>30</v>
      </c>
      <c r="C151" t="s">
        <v>105</v>
      </c>
      <c r="D151" s="1">
        <v>46169</v>
      </c>
      <c r="E151">
        <v>15</v>
      </c>
      <c r="F151">
        <v>2</v>
      </c>
      <c r="G151">
        <v>0</v>
      </c>
      <c r="H151">
        <v>3</v>
      </c>
      <c r="I151">
        <v>0</v>
      </c>
      <c r="J151">
        <v>10</v>
      </c>
      <c r="K151">
        <v>0</v>
      </c>
      <c r="L151">
        <v>0</v>
      </c>
      <c r="M151">
        <v>10</v>
      </c>
      <c r="N151">
        <v>0</v>
      </c>
      <c r="O151">
        <v>10</v>
      </c>
      <c r="P151">
        <v>0</v>
      </c>
      <c r="Q151">
        <v>0</v>
      </c>
      <c r="R151">
        <v>0</v>
      </c>
      <c r="S151">
        <v>0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0</v>
      </c>
    </row>
    <row r="152" spans="1:25" x14ac:dyDescent="0.3">
      <c r="A152">
        <v>7051</v>
      </c>
      <c r="B152" t="s">
        <v>30</v>
      </c>
      <c r="C152" t="s">
        <v>143</v>
      </c>
      <c r="D152" s="1">
        <v>46169</v>
      </c>
      <c r="E152">
        <v>6</v>
      </c>
      <c r="F152">
        <v>0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2</v>
      </c>
      <c r="Q152">
        <v>0</v>
      </c>
      <c r="R152">
        <v>0</v>
      </c>
      <c r="S152">
        <v>0</v>
      </c>
      <c r="T152">
        <v>0</v>
      </c>
      <c r="U152">
        <v>3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7014</v>
      </c>
      <c r="B153" t="s">
        <v>30</v>
      </c>
      <c r="C153" t="s">
        <v>143</v>
      </c>
      <c r="D153" s="1">
        <v>46169</v>
      </c>
      <c r="E153">
        <v>16</v>
      </c>
      <c r="F153">
        <v>0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2</v>
      </c>
      <c r="Q153">
        <v>0</v>
      </c>
      <c r="R153">
        <v>0</v>
      </c>
      <c r="S153">
        <v>0</v>
      </c>
      <c r="T153">
        <v>0</v>
      </c>
      <c r="U153">
        <v>3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7007</v>
      </c>
      <c r="B154" t="s">
        <v>30</v>
      </c>
      <c r="C154" t="s">
        <v>52</v>
      </c>
      <c r="D154" s="1">
        <v>46170</v>
      </c>
      <c r="E154">
        <v>29</v>
      </c>
      <c r="F154">
        <v>10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10</v>
      </c>
      <c r="N154">
        <v>0</v>
      </c>
      <c r="O154">
        <v>0</v>
      </c>
      <c r="P154">
        <v>5</v>
      </c>
      <c r="Q154">
        <v>0</v>
      </c>
      <c r="R154">
        <v>0</v>
      </c>
      <c r="S154">
        <v>0</v>
      </c>
      <c r="T154">
        <v>10</v>
      </c>
      <c r="U154">
        <v>5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7008</v>
      </c>
      <c r="B155" t="s">
        <v>30</v>
      </c>
      <c r="C155" t="s">
        <v>53</v>
      </c>
      <c r="D155" s="1">
        <v>46170</v>
      </c>
      <c r="E155">
        <v>75</v>
      </c>
      <c r="F155">
        <v>10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10</v>
      </c>
      <c r="N155">
        <v>0</v>
      </c>
      <c r="O155">
        <v>0</v>
      </c>
      <c r="P155">
        <v>5</v>
      </c>
      <c r="Q155">
        <v>0</v>
      </c>
      <c r="R155">
        <v>0</v>
      </c>
      <c r="S155">
        <v>0</v>
      </c>
      <c r="T155">
        <v>10</v>
      </c>
      <c r="U155">
        <v>5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6816</v>
      </c>
      <c r="B156" t="s">
        <v>30</v>
      </c>
      <c r="C156" t="s">
        <v>70</v>
      </c>
      <c r="D156" s="1">
        <v>46170</v>
      </c>
      <c r="E156">
        <v>2</v>
      </c>
      <c r="F156">
        <v>5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10</v>
      </c>
      <c r="N156">
        <v>0</v>
      </c>
      <c r="O156">
        <v>0</v>
      </c>
      <c r="P156">
        <v>0</v>
      </c>
      <c r="Q156">
        <v>6</v>
      </c>
      <c r="R156">
        <v>0</v>
      </c>
      <c r="S156">
        <v>0</v>
      </c>
      <c r="T156">
        <v>10</v>
      </c>
      <c r="U156">
        <v>10</v>
      </c>
      <c r="V156">
        <v>0</v>
      </c>
      <c r="W156">
        <v>0</v>
      </c>
      <c r="X156">
        <v>0</v>
      </c>
      <c r="Y156">
        <v>0</v>
      </c>
    </row>
    <row r="157" spans="1:25" x14ac:dyDescent="0.3">
      <c r="A157">
        <v>6888</v>
      </c>
      <c r="B157" t="s">
        <v>30</v>
      </c>
      <c r="C157" t="s">
        <v>142</v>
      </c>
      <c r="D157" s="1">
        <v>46170</v>
      </c>
      <c r="E157">
        <v>34</v>
      </c>
      <c r="F157">
        <v>0</v>
      </c>
      <c r="G157">
        <v>0</v>
      </c>
      <c r="H157">
        <v>10</v>
      </c>
      <c r="I157">
        <v>0</v>
      </c>
      <c r="J157">
        <v>30</v>
      </c>
      <c r="K157">
        <v>0</v>
      </c>
      <c r="L157">
        <v>0</v>
      </c>
      <c r="M157">
        <v>5</v>
      </c>
      <c r="N157">
        <v>0</v>
      </c>
      <c r="O157">
        <v>0</v>
      </c>
      <c r="P157">
        <v>0</v>
      </c>
      <c r="Q157">
        <v>5</v>
      </c>
      <c r="R157">
        <v>0</v>
      </c>
      <c r="S157">
        <v>0</v>
      </c>
      <c r="T157">
        <v>0</v>
      </c>
      <c r="U157">
        <v>15</v>
      </c>
      <c r="V157">
        <v>0</v>
      </c>
      <c r="W157">
        <v>0</v>
      </c>
      <c r="X157">
        <v>0</v>
      </c>
      <c r="Y157">
        <v>0</v>
      </c>
    </row>
    <row r="158" spans="1:25" x14ac:dyDescent="0.3">
      <c r="A158">
        <v>6808</v>
      </c>
      <c r="B158" t="s">
        <v>30</v>
      </c>
      <c r="C158" t="s">
        <v>57</v>
      </c>
      <c r="D158" s="1">
        <v>46171</v>
      </c>
      <c r="E158">
        <v>7</v>
      </c>
      <c r="F158">
        <v>5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10</v>
      </c>
      <c r="N158">
        <v>0</v>
      </c>
      <c r="O158">
        <v>0</v>
      </c>
      <c r="P158">
        <v>5</v>
      </c>
      <c r="Q158">
        <v>6</v>
      </c>
      <c r="R158">
        <v>0</v>
      </c>
      <c r="S158">
        <v>0</v>
      </c>
      <c r="T158">
        <v>10</v>
      </c>
      <c r="U158">
        <v>5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6817</v>
      </c>
      <c r="B159" t="s">
        <v>30</v>
      </c>
      <c r="C159" t="s">
        <v>70</v>
      </c>
      <c r="D159" s="1">
        <v>46171</v>
      </c>
      <c r="E159">
        <v>2</v>
      </c>
      <c r="F159">
        <v>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10</v>
      </c>
      <c r="N159">
        <v>0</v>
      </c>
      <c r="O159">
        <v>0</v>
      </c>
      <c r="P159">
        <v>0</v>
      </c>
      <c r="Q159">
        <v>6</v>
      </c>
      <c r="R159">
        <v>0</v>
      </c>
      <c r="S159">
        <v>0</v>
      </c>
      <c r="T159">
        <v>10</v>
      </c>
      <c r="U159">
        <v>10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6879</v>
      </c>
      <c r="B160" t="s">
        <v>112</v>
      </c>
      <c r="C160" t="s">
        <v>114</v>
      </c>
      <c r="D160" s="1">
        <v>46171</v>
      </c>
      <c r="E160">
        <v>4</v>
      </c>
      <c r="F160">
        <v>2</v>
      </c>
      <c r="G160">
        <v>0</v>
      </c>
      <c r="H160">
        <v>0</v>
      </c>
      <c r="I160">
        <v>0</v>
      </c>
      <c r="J160">
        <v>0</v>
      </c>
      <c r="K160">
        <v>10</v>
      </c>
      <c r="L160">
        <v>0</v>
      </c>
      <c r="M160">
        <v>0</v>
      </c>
      <c r="N160">
        <v>0</v>
      </c>
      <c r="O160">
        <v>15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10</v>
      </c>
      <c r="V160">
        <v>0</v>
      </c>
      <c r="W160">
        <v>0</v>
      </c>
      <c r="X160">
        <v>0</v>
      </c>
      <c r="Y160">
        <v>0</v>
      </c>
    </row>
    <row r="161" spans="1:25" x14ac:dyDescent="0.3">
      <c r="A161">
        <v>7090</v>
      </c>
      <c r="B161" t="s">
        <v>28</v>
      </c>
      <c r="C161" t="s">
        <v>44</v>
      </c>
      <c r="D161" s="1">
        <v>46174</v>
      </c>
      <c r="E161">
        <v>4</v>
      </c>
      <c r="F161">
        <v>10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30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30</v>
      </c>
      <c r="U161">
        <v>10</v>
      </c>
      <c r="V161">
        <v>0</v>
      </c>
      <c r="W161">
        <v>0</v>
      </c>
      <c r="X161">
        <v>10</v>
      </c>
      <c r="Y161">
        <v>0</v>
      </c>
    </row>
    <row r="162" spans="1:25" x14ac:dyDescent="0.3">
      <c r="A162">
        <v>7038</v>
      </c>
      <c r="B162" t="s">
        <v>28</v>
      </c>
      <c r="C162" t="s">
        <v>72</v>
      </c>
      <c r="D162" s="1">
        <v>46174</v>
      </c>
      <c r="E162">
        <v>18</v>
      </c>
      <c r="F162">
        <v>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10</v>
      </c>
      <c r="P162">
        <v>0</v>
      </c>
      <c r="Q162">
        <v>0</v>
      </c>
      <c r="R162">
        <v>0</v>
      </c>
      <c r="S162">
        <v>0</v>
      </c>
      <c r="T162">
        <v>35</v>
      </c>
      <c r="U162">
        <v>10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7099</v>
      </c>
      <c r="B163" t="s">
        <v>28</v>
      </c>
      <c r="C163" t="s">
        <v>86</v>
      </c>
      <c r="D163" s="1">
        <v>46174</v>
      </c>
      <c r="E163">
        <v>100</v>
      </c>
      <c r="F163">
        <v>3</v>
      </c>
      <c r="G163">
        <v>0</v>
      </c>
      <c r="H163">
        <v>2</v>
      </c>
      <c r="I163">
        <v>0</v>
      </c>
      <c r="J163">
        <v>0</v>
      </c>
      <c r="K163">
        <v>0</v>
      </c>
      <c r="L163">
        <v>0</v>
      </c>
      <c r="M163">
        <v>5</v>
      </c>
      <c r="N163">
        <v>0</v>
      </c>
      <c r="O163">
        <v>0</v>
      </c>
      <c r="P163">
        <v>10</v>
      </c>
      <c r="Q163">
        <v>0</v>
      </c>
      <c r="R163">
        <v>0</v>
      </c>
      <c r="S163">
        <v>0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0</v>
      </c>
    </row>
    <row r="164" spans="1:25" x14ac:dyDescent="0.3">
      <c r="A164">
        <v>7098</v>
      </c>
      <c r="B164" t="s">
        <v>28</v>
      </c>
      <c r="C164" t="s">
        <v>118</v>
      </c>
      <c r="D164" s="1">
        <v>46174</v>
      </c>
      <c r="E164">
        <v>33</v>
      </c>
      <c r="F164">
        <v>2</v>
      </c>
      <c r="G164">
        <v>0</v>
      </c>
      <c r="H164">
        <v>0</v>
      </c>
      <c r="I164">
        <v>0</v>
      </c>
      <c r="J164">
        <v>3</v>
      </c>
      <c r="K164">
        <v>0</v>
      </c>
      <c r="L164">
        <v>0</v>
      </c>
      <c r="M164">
        <v>0</v>
      </c>
      <c r="N164">
        <v>3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3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7097</v>
      </c>
      <c r="B165" t="s">
        <v>28</v>
      </c>
      <c r="C165" t="s">
        <v>145</v>
      </c>
      <c r="D165" s="1">
        <v>46174</v>
      </c>
      <c r="E165">
        <v>33</v>
      </c>
      <c r="F165">
        <v>0</v>
      </c>
      <c r="G165">
        <v>0</v>
      </c>
      <c r="H165">
        <v>3</v>
      </c>
      <c r="I165">
        <v>0</v>
      </c>
      <c r="J165">
        <v>0</v>
      </c>
      <c r="K165">
        <v>0</v>
      </c>
      <c r="L165">
        <v>0</v>
      </c>
      <c r="M165">
        <v>3</v>
      </c>
      <c r="N165">
        <v>0</v>
      </c>
      <c r="O165">
        <v>0</v>
      </c>
      <c r="P165">
        <v>3</v>
      </c>
      <c r="Q165">
        <v>0</v>
      </c>
      <c r="R165">
        <v>0</v>
      </c>
      <c r="S165">
        <v>0</v>
      </c>
      <c r="T165">
        <v>0</v>
      </c>
      <c r="U165">
        <v>3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6807</v>
      </c>
      <c r="B166" t="s">
        <v>30</v>
      </c>
      <c r="C166" t="s">
        <v>50</v>
      </c>
      <c r="D166" s="1">
        <v>46175</v>
      </c>
      <c r="E166">
        <v>9</v>
      </c>
      <c r="F166">
        <v>10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10</v>
      </c>
      <c r="N166">
        <v>0</v>
      </c>
      <c r="O166">
        <v>0</v>
      </c>
      <c r="P166">
        <v>5</v>
      </c>
      <c r="Q166">
        <v>0</v>
      </c>
      <c r="R166">
        <v>0</v>
      </c>
      <c r="S166">
        <v>0</v>
      </c>
      <c r="T166">
        <v>10</v>
      </c>
      <c r="U166">
        <v>5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7019</v>
      </c>
      <c r="B167" t="s">
        <v>30</v>
      </c>
      <c r="C167" t="s">
        <v>70</v>
      </c>
      <c r="D167" s="1">
        <v>46176</v>
      </c>
      <c r="E167">
        <v>1</v>
      </c>
      <c r="F167">
        <v>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10</v>
      </c>
      <c r="N167">
        <v>0</v>
      </c>
      <c r="O167">
        <v>0</v>
      </c>
      <c r="P167">
        <v>0</v>
      </c>
      <c r="Q167">
        <v>6</v>
      </c>
      <c r="R167">
        <v>0</v>
      </c>
      <c r="S167">
        <v>0</v>
      </c>
      <c r="T167">
        <v>10</v>
      </c>
      <c r="U167">
        <v>10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7054</v>
      </c>
      <c r="B168" t="s">
        <v>30</v>
      </c>
      <c r="C168" t="s">
        <v>48</v>
      </c>
      <c r="D168" s="1">
        <v>46177</v>
      </c>
      <c r="E168">
        <v>6</v>
      </c>
      <c r="F168">
        <v>10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15</v>
      </c>
      <c r="N168">
        <v>0</v>
      </c>
      <c r="O168">
        <v>0</v>
      </c>
      <c r="P168">
        <v>0</v>
      </c>
      <c r="Q168">
        <v>6</v>
      </c>
      <c r="R168">
        <v>0</v>
      </c>
      <c r="S168">
        <v>0</v>
      </c>
      <c r="T168">
        <v>20</v>
      </c>
      <c r="U168">
        <v>10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6984</v>
      </c>
      <c r="B169" t="s">
        <v>30</v>
      </c>
      <c r="C169" t="s">
        <v>144</v>
      </c>
      <c r="D169" s="1">
        <v>46177</v>
      </c>
      <c r="E169">
        <v>3</v>
      </c>
      <c r="F169">
        <v>0</v>
      </c>
      <c r="G169">
        <v>0</v>
      </c>
      <c r="H169">
        <v>10</v>
      </c>
      <c r="I169">
        <v>0</v>
      </c>
      <c r="J169">
        <v>60</v>
      </c>
      <c r="K169">
        <v>0</v>
      </c>
      <c r="L169">
        <v>0</v>
      </c>
      <c r="M169">
        <v>10</v>
      </c>
      <c r="N169">
        <v>0</v>
      </c>
      <c r="O169">
        <v>0</v>
      </c>
      <c r="P169">
        <v>0</v>
      </c>
      <c r="Q169">
        <v>5</v>
      </c>
      <c r="R169">
        <v>0</v>
      </c>
      <c r="S169">
        <v>0</v>
      </c>
      <c r="T169">
        <v>0</v>
      </c>
      <c r="U169">
        <v>30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7011</v>
      </c>
      <c r="B170" t="s">
        <v>30</v>
      </c>
      <c r="C170" t="s">
        <v>89</v>
      </c>
      <c r="D170" s="1">
        <v>46179</v>
      </c>
      <c r="E170">
        <v>62</v>
      </c>
      <c r="F170">
        <v>3</v>
      </c>
      <c r="G170">
        <v>0</v>
      </c>
      <c r="H170">
        <v>0</v>
      </c>
      <c r="I170">
        <v>0</v>
      </c>
      <c r="J170">
        <v>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2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7056</v>
      </c>
      <c r="B171" t="s">
        <v>30</v>
      </c>
      <c r="C171" t="s">
        <v>34</v>
      </c>
      <c r="D171" s="1">
        <v>46181</v>
      </c>
      <c r="E171">
        <v>30</v>
      </c>
      <c r="F171">
        <v>15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15</v>
      </c>
      <c r="U171">
        <v>10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6956</v>
      </c>
      <c r="B172" t="s">
        <v>30</v>
      </c>
      <c r="C172" t="s">
        <v>50</v>
      </c>
      <c r="D172" s="1">
        <v>46181</v>
      </c>
      <c r="E172">
        <v>9</v>
      </c>
      <c r="F172">
        <v>10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10</v>
      </c>
      <c r="N172">
        <v>0</v>
      </c>
      <c r="O172">
        <v>0</v>
      </c>
      <c r="P172">
        <v>5</v>
      </c>
      <c r="Q172">
        <v>0</v>
      </c>
      <c r="R172">
        <v>0</v>
      </c>
      <c r="S172">
        <v>0</v>
      </c>
      <c r="T172">
        <v>10</v>
      </c>
      <c r="U172">
        <v>5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6904</v>
      </c>
      <c r="B173" t="s">
        <v>28</v>
      </c>
      <c r="C173" t="s">
        <v>138</v>
      </c>
      <c r="D173" s="1">
        <v>46181</v>
      </c>
      <c r="E173">
        <v>6</v>
      </c>
      <c r="F173">
        <v>0</v>
      </c>
      <c r="G173">
        <v>15</v>
      </c>
      <c r="H173">
        <v>0</v>
      </c>
      <c r="I173">
        <v>0</v>
      </c>
      <c r="J173">
        <v>15</v>
      </c>
      <c r="K173">
        <v>0</v>
      </c>
      <c r="L173">
        <v>60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45</v>
      </c>
      <c r="U173">
        <v>15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7058</v>
      </c>
      <c r="B174" t="s">
        <v>30</v>
      </c>
      <c r="C174" t="s">
        <v>31</v>
      </c>
      <c r="D174" s="1">
        <v>46182</v>
      </c>
      <c r="E174">
        <v>3</v>
      </c>
      <c r="F174">
        <v>15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15</v>
      </c>
      <c r="U174">
        <v>10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7057</v>
      </c>
      <c r="B175" t="s">
        <v>30</v>
      </c>
      <c r="C175" t="s">
        <v>143</v>
      </c>
      <c r="D175" s="1">
        <v>46183</v>
      </c>
      <c r="E175">
        <v>12</v>
      </c>
      <c r="F175">
        <v>0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2</v>
      </c>
      <c r="Q175">
        <v>0</v>
      </c>
      <c r="R175">
        <v>0</v>
      </c>
      <c r="S175">
        <v>0</v>
      </c>
      <c r="T175">
        <v>0</v>
      </c>
      <c r="U175">
        <v>3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7062</v>
      </c>
      <c r="B176" t="s">
        <v>30</v>
      </c>
      <c r="C176" t="s">
        <v>47</v>
      </c>
      <c r="D176" s="1">
        <v>46185</v>
      </c>
      <c r="E176">
        <v>10</v>
      </c>
      <c r="F176">
        <v>10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15</v>
      </c>
      <c r="N176">
        <v>0</v>
      </c>
      <c r="O176">
        <v>0</v>
      </c>
      <c r="P176">
        <v>0</v>
      </c>
      <c r="Q176">
        <v>6</v>
      </c>
      <c r="R176">
        <v>0</v>
      </c>
      <c r="S176">
        <v>0</v>
      </c>
      <c r="T176">
        <v>20</v>
      </c>
      <c r="U176">
        <v>10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7096</v>
      </c>
      <c r="B177" t="s">
        <v>28</v>
      </c>
      <c r="C177" t="s">
        <v>58</v>
      </c>
      <c r="D177" s="1">
        <v>46188</v>
      </c>
      <c r="E177">
        <v>27</v>
      </c>
      <c r="F177">
        <v>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5</v>
      </c>
      <c r="N177">
        <v>0</v>
      </c>
      <c r="O177">
        <v>10</v>
      </c>
      <c r="P177">
        <v>5</v>
      </c>
      <c r="Q177">
        <v>0</v>
      </c>
      <c r="R177">
        <v>0</v>
      </c>
      <c r="S177">
        <v>0</v>
      </c>
      <c r="T177">
        <v>20</v>
      </c>
      <c r="U177">
        <v>10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6844</v>
      </c>
      <c r="B178" t="s">
        <v>30</v>
      </c>
      <c r="C178" t="s">
        <v>83</v>
      </c>
      <c r="D178" s="1">
        <v>46189</v>
      </c>
      <c r="E178">
        <v>16</v>
      </c>
      <c r="F178">
        <v>3</v>
      </c>
      <c r="G178">
        <v>0</v>
      </c>
      <c r="H178">
        <v>0</v>
      </c>
      <c r="I178">
        <v>3</v>
      </c>
      <c r="J178">
        <v>10</v>
      </c>
      <c r="K178">
        <v>0</v>
      </c>
      <c r="L178">
        <v>0</v>
      </c>
      <c r="M178">
        <v>10</v>
      </c>
      <c r="N178">
        <v>0</v>
      </c>
      <c r="O178">
        <v>7</v>
      </c>
      <c r="P178">
        <v>0</v>
      </c>
      <c r="Q178">
        <v>0</v>
      </c>
      <c r="R178">
        <v>0</v>
      </c>
      <c r="S178">
        <v>0</v>
      </c>
      <c r="T178">
        <v>10</v>
      </c>
      <c r="U178">
        <v>5</v>
      </c>
      <c r="V178">
        <v>0</v>
      </c>
      <c r="W178">
        <v>0</v>
      </c>
      <c r="X178">
        <v>0</v>
      </c>
      <c r="Y178">
        <v>0</v>
      </c>
    </row>
    <row r="179" spans="1:25" x14ac:dyDescent="0.3">
      <c r="A179">
        <v>6845</v>
      </c>
      <c r="B179" t="s">
        <v>30</v>
      </c>
      <c r="C179" t="s">
        <v>123</v>
      </c>
      <c r="D179" s="1">
        <v>46189</v>
      </c>
      <c r="E179">
        <v>10</v>
      </c>
      <c r="F179">
        <v>1</v>
      </c>
      <c r="G179">
        <v>0</v>
      </c>
      <c r="H179">
        <v>3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5</v>
      </c>
      <c r="U179">
        <v>9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7022</v>
      </c>
      <c r="B180" t="s">
        <v>30</v>
      </c>
      <c r="C180" t="s">
        <v>105</v>
      </c>
      <c r="D180" s="1">
        <v>46190</v>
      </c>
      <c r="E180">
        <v>6</v>
      </c>
      <c r="F180">
        <v>2</v>
      </c>
      <c r="G180">
        <v>0</v>
      </c>
      <c r="H180">
        <v>3</v>
      </c>
      <c r="I180">
        <v>0</v>
      </c>
      <c r="J180">
        <v>10</v>
      </c>
      <c r="K180">
        <v>0</v>
      </c>
      <c r="L180">
        <v>0</v>
      </c>
      <c r="M180">
        <v>10</v>
      </c>
      <c r="N180">
        <v>0</v>
      </c>
      <c r="O180">
        <v>10</v>
      </c>
      <c r="P180">
        <v>0</v>
      </c>
      <c r="Q180">
        <v>0</v>
      </c>
      <c r="R180">
        <v>0</v>
      </c>
      <c r="S180">
        <v>0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7009</v>
      </c>
      <c r="B181" t="s">
        <v>30</v>
      </c>
      <c r="C181" t="s">
        <v>40</v>
      </c>
      <c r="D181" s="1">
        <v>46192</v>
      </c>
      <c r="E181">
        <v>20</v>
      </c>
      <c r="F181">
        <v>10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10</v>
      </c>
      <c r="N181">
        <v>0</v>
      </c>
      <c r="O181">
        <v>0</v>
      </c>
      <c r="P181">
        <v>5</v>
      </c>
      <c r="Q181">
        <v>0</v>
      </c>
      <c r="R181">
        <v>0</v>
      </c>
      <c r="S181">
        <v>0</v>
      </c>
      <c r="T181">
        <v>10</v>
      </c>
      <c r="U181">
        <v>5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7010</v>
      </c>
      <c r="B182" t="s">
        <v>30</v>
      </c>
      <c r="C182" t="s">
        <v>57</v>
      </c>
      <c r="D182" s="1">
        <v>46192</v>
      </c>
      <c r="E182">
        <v>14</v>
      </c>
      <c r="F182">
        <v>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10</v>
      </c>
      <c r="N182">
        <v>0</v>
      </c>
      <c r="O182">
        <v>0</v>
      </c>
      <c r="P182">
        <v>5</v>
      </c>
      <c r="Q182">
        <v>6</v>
      </c>
      <c r="R182">
        <v>0</v>
      </c>
      <c r="S182">
        <v>0</v>
      </c>
      <c r="T182">
        <v>10</v>
      </c>
      <c r="U182">
        <v>5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7055</v>
      </c>
      <c r="B183" t="s">
        <v>30</v>
      </c>
      <c r="C183" t="s">
        <v>89</v>
      </c>
      <c r="D183" s="1">
        <v>46195</v>
      </c>
      <c r="E183">
        <v>38</v>
      </c>
      <c r="F183">
        <v>3</v>
      </c>
      <c r="G183">
        <v>0</v>
      </c>
      <c r="H183">
        <v>0</v>
      </c>
      <c r="I183">
        <v>0</v>
      </c>
      <c r="J183">
        <v>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2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6883</v>
      </c>
      <c r="B184" t="s">
        <v>30</v>
      </c>
      <c r="C184" t="s">
        <v>123</v>
      </c>
      <c r="D184" s="1">
        <v>46196</v>
      </c>
      <c r="E184">
        <v>20</v>
      </c>
      <c r="F184">
        <v>1</v>
      </c>
      <c r="G184">
        <v>0</v>
      </c>
      <c r="H184">
        <v>3</v>
      </c>
      <c r="I184">
        <v>0</v>
      </c>
      <c r="J184">
        <v>0</v>
      </c>
      <c r="K184">
        <v>0</v>
      </c>
      <c r="L184">
        <v>0</v>
      </c>
      <c r="M184">
        <v>5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5</v>
      </c>
      <c r="U184">
        <v>9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6884</v>
      </c>
      <c r="B185" t="s">
        <v>30</v>
      </c>
      <c r="C185" t="s">
        <v>84</v>
      </c>
      <c r="D185" s="1">
        <v>46197</v>
      </c>
      <c r="E185">
        <v>6</v>
      </c>
      <c r="F185">
        <v>3</v>
      </c>
      <c r="G185">
        <v>0</v>
      </c>
      <c r="H185">
        <v>0</v>
      </c>
      <c r="I185">
        <v>3</v>
      </c>
      <c r="J185">
        <v>10</v>
      </c>
      <c r="K185">
        <v>0</v>
      </c>
      <c r="L185">
        <v>0</v>
      </c>
      <c r="M185">
        <v>10</v>
      </c>
      <c r="N185">
        <v>0</v>
      </c>
      <c r="O185">
        <v>7</v>
      </c>
      <c r="P185">
        <v>0</v>
      </c>
      <c r="Q185">
        <v>0</v>
      </c>
      <c r="R185">
        <v>0</v>
      </c>
      <c r="S185">
        <v>0</v>
      </c>
      <c r="T185">
        <v>10</v>
      </c>
      <c r="U185">
        <v>5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6891</v>
      </c>
      <c r="B186" t="s">
        <v>30</v>
      </c>
      <c r="C186" t="s">
        <v>83</v>
      </c>
      <c r="D186" s="1">
        <v>46198</v>
      </c>
      <c r="E186">
        <v>3</v>
      </c>
      <c r="F186">
        <v>3</v>
      </c>
      <c r="G186">
        <v>0</v>
      </c>
      <c r="H186">
        <v>0</v>
      </c>
      <c r="I186">
        <v>3</v>
      </c>
      <c r="J186">
        <v>10</v>
      </c>
      <c r="K186">
        <v>0</v>
      </c>
      <c r="L186">
        <v>0</v>
      </c>
      <c r="M186">
        <v>10</v>
      </c>
      <c r="N186">
        <v>0</v>
      </c>
      <c r="O186">
        <v>7</v>
      </c>
      <c r="P186">
        <v>0</v>
      </c>
      <c r="Q186">
        <v>0</v>
      </c>
      <c r="R186">
        <v>0</v>
      </c>
      <c r="S186">
        <v>0</v>
      </c>
      <c r="T186">
        <v>10</v>
      </c>
      <c r="U186">
        <v>5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6887</v>
      </c>
      <c r="B187" t="s">
        <v>30</v>
      </c>
      <c r="C187" t="s">
        <v>124</v>
      </c>
      <c r="D187" s="1">
        <v>46199</v>
      </c>
      <c r="E187">
        <v>10</v>
      </c>
      <c r="F187">
        <v>1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3</v>
      </c>
      <c r="N187">
        <v>0</v>
      </c>
      <c r="O187">
        <v>0</v>
      </c>
      <c r="P187">
        <v>3</v>
      </c>
      <c r="Q187">
        <v>0</v>
      </c>
      <c r="R187">
        <v>0</v>
      </c>
      <c r="S187">
        <v>0</v>
      </c>
      <c r="T187">
        <v>0</v>
      </c>
      <c r="U187">
        <v>1</v>
      </c>
      <c r="V187">
        <v>0</v>
      </c>
      <c r="W187">
        <v>0</v>
      </c>
      <c r="X187">
        <v>0</v>
      </c>
      <c r="Y187">
        <v>0</v>
      </c>
    </row>
    <row r="188" spans="1:25" x14ac:dyDescent="0.3">
      <c r="A188">
        <v>7060</v>
      </c>
      <c r="B188" t="s">
        <v>30</v>
      </c>
      <c r="C188" t="s">
        <v>142</v>
      </c>
      <c r="D188" s="1">
        <v>46199</v>
      </c>
      <c r="E188">
        <v>17</v>
      </c>
      <c r="F188">
        <v>0</v>
      </c>
      <c r="G188">
        <v>0</v>
      </c>
      <c r="H188">
        <v>10</v>
      </c>
      <c r="I188">
        <v>0</v>
      </c>
      <c r="J188">
        <v>30</v>
      </c>
      <c r="K188">
        <v>0</v>
      </c>
      <c r="L188">
        <v>0</v>
      </c>
      <c r="M188">
        <v>5</v>
      </c>
      <c r="N188">
        <v>0</v>
      </c>
      <c r="O188">
        <v>0</v>
      </c>
      <c r="P188">
        <v>0</v>
      </c>
      <c r="Q188">
        <v>5</v>
      </c>
      <c r="R188">
        <v>0</v>
      </c>
      <c r="S188">
        <v>0</v>
      </c>
      <c r="T188">
        <v>0</v>
      </c>
      <c r="U188">
        <v>15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6949</v>
      </c>
      <c r="B189" t="s">
        <v>30</v>
      </c>
      <c r="C189" t="s">
        <v>123</v>
      </c>
      <c r="D189" s="1">
        <v>46202</v>
      </c>
      <c r="E189">
        <v>10</v>
      </c>
      <c r="F189">
        <v>1</v>
      </c>
      <c r="G189">
        <v>0</v>
      </c>
      <c r="H189">
        <v>3</v>
      </c>
      <c r="I189">
        <v>0</v>
      </c>
      <c r="J189">
        <v>0</v>
      </c>
      <c r="K189">
        <v>0</v>
      </c>
      <c r="L189">
        <v>0</v>
      </c>
      <c r="M189">
        <v>5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5</v>
      </c>
      <c r="U189">
        <v>9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7059</v>
      </c>
      <c r="B190" t="s">
        <v>30</v>
      </c>
      <c r="C190" t="s">
        <v>50</v>
      </c>
      <c r="D190" s="1">
        <v>46203</v>
      </c>
      <c r="E190">
        <v>12</v>
      </c>
      <c r="F190">
        <v>10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10</v>
      </c>
      <c r="N190">
        <v>0</v>
      </c>
      <c r="O190">
        <v>0</v>
      </c>
      <c r="P190">
        <v>5</v>
      </c>
      <c r="Q190">
        <v>0</v>
      </c>
      <c r="R190">
        <v>0</v>
      </c>
      <c r="S190">
        <v>0</v>
      </c>
      <c r="T190">
        <v>10</v>
      </c>
      <c r="U190">
        <v>5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6950</v>
      </c>
      <c r="B191" t="s">
        <v>30</v>
      </c>
      <c r="C191" t="s">
        <v>83</v>
      </c>
      <c r="D191" s="1">
        <v>46203</v>
      </c>
      <c r="E191">
        <v>9</v>
      </c>
      <c r="F191">
        <v>3</v>
      </c>
      <c r="G191">
        <v>0</v>
      </c>
      <c r="H191">
        <v>0</v>
      </c>
      <c r="I191">
        <v>3</v>
      </c>
      <c r="J191">
        <v>10</v>
      </c>
      <c r="K191">
        <v>0</v>
      </c>
      <c r="L191">
        <v>0</v>
      </c>
      <c r="M191">
        <v>10</v>
      </c>
      <c r="N191">
        <v>0</v>
      </c>
      <c r="O191">
        <v>7</v>
      </c>
      <c r="P191">
        <v>0</v>
      </c>
      <c r="Q191">
        <v>0</v>
      </c>
      <c r="R191">
        <v>0</v>
      </c>
      <c r="S191">
        <v>0</v>
      </c>
      <c r="T191">
        <v>10</v>
      </c>
      <c r="U191">
        <v>5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6951</v>
      </c>
      <c r="B192" t="s">
        <v>30</v>
      </c>
      <c r="C192" t="s">
        <v>102</v>
      </c>
      <c r="D192" s="1">
        <v>46203</v>
      </c>
      <c r="E192">
        <v>11</v>
      </c>
      <c r="F192">
        <v>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8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2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7061</v>
      </c>
      <c r="B193" t="s">
        <v>30</v>
      </c>
      <c r="C193" t="s">
        <v>40</v>
      </c>
      <c r="D193" s="1">
        <v>46204</v>
      </c>
      <c r="E193">
        <v>5</v>
      </c>
      <c r="F193">
        <v>10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10</v>
      </c>
      <c r="N193">
        <v>0</v>
      </c>
      <c r="O193">
        <v>0</v>
      </c>
      <c r="P193">
        <v>5</v>
      </c>
      <c r="Q193">
        <v>0</v>
      </c>
      <c r="R193">
        <v>0</v>
      </c>
      <c r="S193">
        <v>0</v>
      </c>
      <c r="T193">
        <v>10</v>
      </c>
      <c r="U193">
        <v>5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7088</v>
      </c>
      <c r="B194" t="s">
        <v>30</v>
      </c>
      <c r="C194" t="s">
        <v>57</v>
      </c>
      <c r="D194" s="1">
        <v>46204</v>
      </c>
      <c r="E194">
        <v>28</v>
      </c>
      <c r="F194">
        <v>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10</v>
      </c>
      <c r="N194">
        <v>0</v>
      </c>
      <c r="O194">
        <v>0</v>
      </c>
      <c r="P194">
        <v>5</v>
      </c>
      <c r="Q194">
        <v>6</v>
      </c>
      <c r="R194">
        <v>0</v>
      </c>
      <c r="S194">
        <v>0</v>
      </c>
      <c r="T194">
        <v>10</v>
      </c>
      <c r="U194">
        <v>5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7066</v>
      </c>
      <c r="B195" t="s">
        <v>30</v>
      </c>
      <c r="C195" t="s">
        <v>89</v>
      </c>
      <c r="D195" s="1">
        <v>46205</v>
      </c>
      <c r="E195">
        <v>20</v>
      </c>
      <c r="F195">
        <v>3</v>
      </c>
      <c r="G195">
        <v>0</v>
      </c>
      <c r="H195">
        <v>0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2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7065</v>
      </c>
      <c r="B196" t="s">
        <v>30</v>
      </c>
      <c r="C196" t="s">
        <v>41</v>
      </c>
      <c r="D196" s="1">
        <v>46209</v>
      </c>
      <c r="E196">
        <v>5</v>
      </c>
      <c r="F196">
        <v>10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15</v>
      </c>
      <c r="N196">
        <v>0</v>
      </c>
      <c r="O196">
        <v>0</v>
      </c>
      <c r="P196">
        <v>0</v>
      </c>
      <c r="Q196">
        <v>6</v>
      </c>
      <c r="R196">
        <v>0</v>
      </c>
      <c r="S196">
        <v>0</v>
      </c>
      <c r="T196">
        <v>20</v>
      </c>
      <c r="U196">
        <v>10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7012</v>
      </c>
      <c r="B197" t="s">
        <v>30</v>
      </c>
      <c r="C197" t="s">
        <v>102</v>
      </c>
      <c r="D197" s="1">
        <v>46211</v>
      </c>
      <c r="E197">
        <v>15</v>
      </c>
      <c r="F197">
        <v>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2</v>
      </c>
      <c r="V197">
        <v>0</v>
      </c>
      <c r="W197">
        <v>0</v>
      </c>
      <c r="X197">
        <v>0</v>
      </c>
      <c r="Y197">
        <v>0</v>
      </c>
    </row>
    <row r="198" spans="1:25" x14ac:dyDescent="0.3">
      <c r="A198">
        <v>7021</v>
      </c>
      <c r="B198" t="s">
        <v>30</v>
      </c>
      <c r="C198" t="s">
        <v>104</v>
      </c>
      <c r="D198" s="1">
        <v>46218</v>
      </c>
      <c r="E198">
        <v>1</v>
      </c>
      <c r="F198">
        <v>2</v>
      </c>
      <c r="G198">
        <v>0</v>
      </c>
      <c r="H198">
        <v>0</v>
      </c>
      <c r="I198">
        <v>0</v>
      </c>
      <c r="J198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8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7052</v>
      </c>
      <c r="B199" t="s">
        <v>30</v>
      </c>
      <c r="C199" t="s">
        <v>123</v>
      </c>
      <c r="D199" s="1">
        <v>46218</v>
      </c>
      <c r="E199">
        <v>10</v>
      </c>
      <c r="F199">
        <v>1</v>
      </c>
      <c r="G199">
        <v>0</v>
      </c>
      <c r="H199">
        <v>3</v>
      </c>
      <c r="I199">
        <v>0</v>
      </c>
      <c r="J199">
        <v>0</v>
      </c>
      <c r="K199">
        <v>0</v>
      </c>
      <c r="L199">
        <v>0</v>
      </c>
      <c r="M199">
        <v>5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5</v>
      </c>
      <c r="U199">
        <v>9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7053</v>
      </c>
      <c r="B200" t="s">
        <v>30</v>
      </c>
      <c r="C200" t="s">
        <v>104</v>
      </c>
      <c r="D200" s="1">
        <v>46221</v>
      </c>
      <c r="E200">
        <v>6</v>
      </c>
      <c r="F200">
        <v>2</v>
      </c>
      <c r="G200">
        <v>0</v>
      </c>
      <c r="H200">
        <v>0</v>
      </c>
      <c r="I200">
        <v>0</v>
      </c>
      <c r="J200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8</v>
      </c>
      <c r="V200">
        <v>0</v>
      </c>
      <c r="W200">
        <v>0</v>
      </c>
      <c r="X200">
        <v>0</v>
      </c>
      <c r="Y200">
        <v>0</v>
      </c>
    </row>
    <row r="201" spans="1:25" x14ac:dyDescent="0.3">
      <c r="A201">
        <v>7087</v>
      </c>
      <c r="B201" t="s">
        <v>30</v>
      </c>
      <c r="C201" t="s">
        <v>104</v>
      </c>
      <c r="D201" s="1">
        <v>46221</v>
      </c>
      <c r="E201">
        <v>5</v>
      </c>
      <c r="F201">
        <v>2</v>
      </c>
      <c r="G201">
        <v>0</v>
      </c>
      <c r="H201">
        <v>0</v>
      </c>
      <c r="I201">
        <v>0</v>
      </c>
      <c r="J201">
        <v>10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8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6889</v>
      </c>
      <c r="B202" t="s">
        <v>30</v>
      </c>
      <c r="C202" t="s">
        <v>82</v>
      </c>
      <c r="D202" s="1">
        <v>46228</v>
      </c>
      <c r="E202">
        <v>4</v>
      </c>
      <c r="F202">
        <v>3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8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2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7063</v>
      </c>
      <c r="B203" t="s">
        <v>30</v>
      </c>
      <c r="C203" t="s">
        <v>102</v>
      </c>
      <c r="D203" s="1">
        <v>46230</v>
      </c>
      <c r="E203">
        <v>25</v>
      </c>
      <c r="F203">
        <v>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8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2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6985</v>
      </c>
      <c r="B204" t="s">
        <v>30</v>
      </c>
      <c r="C204" t="s">
        <v>82</v>
      </c>
      <c r="D204" s="1">
        <v>46237</v>
      </c>
      <c r="E204">
        <v>5</v>
      </c>
      <c r="F204">
        <v>3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8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2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7013</v>
      </c>
      <c r="B205" t="s">
        <v>30</v>
      </c>
      <c r="C205" t="s">
        <v>82</v>
      </c>
      <c r="D205" s="1">
        <v>46242</v>
      </c>
      <c r="E205">
        <v>8</v>
      </c>
      <c r="F205">
        <v>3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2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7015</v>
      </c>
      <c r="B206" t="s">
        <v>30</v>
      </c>
      <c r="C206" t="s">
        <v>82</v>
      </c>
      <c r="D206" s="1">
        <v>46248</v>
      </c>
      <c r="E206">
        <v>4</v>
      </c>
      <c r="F206">
        <v>3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8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2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7064</v>
      </c>
      <c r="B207" t="s">
        <v>30</v>
      </c>
      <c r="C207" t="s">
        <v>82</v>
      </c>
      <c r="D207" s="1">
        <v>46263</v>
      </c>
      <c r="E207">
        <v>3</v>
      </c>
      <c r="F207">
        <v>3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8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2</v>
      </c>
      <c r="V207">
        <v>0</v>
      </c>
      <c r="W207">
        <v>0</v>
      </c>
      <c r="X207">
        <v>0</v>
      </c>
      <c r="Y207">
        <v>0</v>
      </c>
    </row>
    <row r="208" spans="1:25" x14ac:dyDescent="0.3">
      <c r="D208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71B18-2E15-4EFA-B594-D3198C578F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Manutencao</dc:creator>
  <cp:lastModifiedBy>Eduardo Luz</cp:lastModifiedBy>
  <dcterms:created xsi:type="dcterms:W3CDTF">2026-04-23T11:12:01Z</dcterms:created>
  <dcterms:modified xsi:type="dcterms:W3CDTF">2026-04-24T13:49:34Z</dcterms:modified>
</cp:coreProperties>
</file>